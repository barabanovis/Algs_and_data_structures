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lgs_and_data_structures\"/>
    </mc:Choice>
  </mc:AlternateContent>
  <xr:revisionPtr revIDLastSave="0" documentId="13_ncr:1_{A111BDEC-974B-4E44-8C56-8937F8B2C925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insert" sheetId="1" r:id="rId1"/>
    <sheet name="shak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9" i="2" l="1"/>
  <c r="AL9" i="2" s="1"/>
  <c r="AK8" i="2"/>
  <c r="AL8" i="2" s="1"/>
  <c r="AK7" i="2"/>
  <c r="AL7" i="2" s="1"/>
  <c r="AK6" i="2"/>
  <c r="AL6" i="2" s="1"/>
  <c r="AK5" i="2"/>
  <c r="AL5" i="2" s="1"/>
  <c r="AK4" i="2"/>
  <c r="AL4" i="2" s="1"/>
  <c r="AD10" i="2"/>
  <c r="AE10" i="2" s="1"/>
  <c r="AD9" i="2"/>
  <c r="AE9" i="2" s="1"/>
  <c r="AD8" i="2"/>
  <c r="AE8" i="2" s="1"/>
  <c r="AD7" i="2"/>
  <c r="AE7" i="2" s="1"/>
  <c r="AD6" i="2"/>
  <c r="AE6" i="2" s="1"/>
  <c r="AD5" i="2"/>
  <c r="AE5" i="2" s="1"/>
  <c r="AD4" i="2"/>
  <c r="AE4" i="2" s="1"/>
  <c r="AL9" i="1"/>
  <c r="AM9" i="1" s="1"/>
  <c r="AL8" i="1"/>
  <c r="AM8" i="1"/>
  <c r="AL7" i="1"/>
  <c r="AM7" i="1"/>
  <c r="AL6" i="1"/>
  <c r="AM6" i="1" s="1"/>
  <c r="AL5" i="1"/>
  <c r="AM5" i="1"/>
  <c r="AL4" i="1"/>
  <c r="W4" i="1"/>
  <c r="X4" i="1" s="1"/>
  <c r="AF9" i="1"/>
  <c r="AG9" i="1" s="1"/>
  <c r="AF8" i="1"/>
  <c r="AG8" i="1"/>
  <c r="AF7" i="1"/>
  <c r="AG7" i="1"/>
  <c r="AF6" i="1"/>
  <c r="AF5" i="1"/>
  <c r="AG5" i="1"/>
  <c r="AF4" i="1"/>
  <c r="AG4" i="1"/>
  <c r="X5" i="1"/>
  <c r="X6" i="1"/>
  <c r="X7" i="1"/>
  <c r="X8" i="1"/>
  <c r="W4" i="2"/>
  <c r="W5" i="2"/>
  <c r="W6" i="2"/>
  <c r="W7" i="2"/>
  <c r="W8" i="2"/>
  <c r="W9" i="2"/>
  <c r="W5" i="1"/>
  <c r="W6" i="1"/>
  <c r="W7" i="1"/>
  <c r="W8" i="1"/>
  <c r="W9" i="1"/>
  <c r="R104" i="2"/>
  <c r="V9" i="2" s="1"/>
  <c r="Q104" i="2"/>
  <c r="U9" i="2" s="1"/>
  <c r="O104" i="2"/>
  <c r="N104" i="2"/>
  <c r="L104" i="2"/>
  <c r="V7" i="2" s="1"/>
  <c r="K104" i="2"/>
  <c r="U7" i="2" s="1"/>
  <c r="I104" i="2"/>
  <c r="V6" i="2" s="1"/>
  <c r="H104" i="2"/>
  <c r="U6" i="2" s="1"/>
  <c r="F104" i="2"/>
  <c r="V5" i="2" s="1"/>
  <c r="E104" i="2"/>
  <c r="U5" i="2" s="1"/>
  <c r="C104" i="2"/>
  <c r="V4" i="2" s="1"/>
  <c r="B104" i="2"/>
  <c r="U4" i="2" s="1"/>
  <c r="V8" i="2"/>
  <c r="U8" i="2"/>
  <c r="R104" i="1"/>
  <c r="V9" i="1" s="1"/>
  <c r="Q104" i="1"/>
  <c r="U9" i="1" s="1"/>
  <c r="X9" i="1" s="1"/>
  <c r="V7" i="1"/>
  <c r="U5" i="1"/>
  <c r="U4" i="1"/>
  <c r="O104" i="1"/>
  <c r="V8" i="1" s="1"/>
  <c r="N104" i="1"/>
  <c r="U8" i="1" s="1"/>
  <c r="L104" i="1"/>
  <c r="K104" i="1"/>
  <c r="U7" i="1" s="1"/>
  <c r="I104" i="1"/>
  <c r="V6" i="1" s="1"/>
  <c r="H104" i="1"/>
  <c r="U6" i="1" s="1"/>
  <c r="F104" i="1"/>
  <c r="V5" i="1" s="1"/>
  <c r="E104" i="1"/>
  <c r="C104" i="1"/>
  <c r="V4" i="1" s="1"/>
  <c r="B104" i="1"/>
  <c r="AM4" i="1" l="1"/>
  <c r="AG6" i="1"/>
</calcChain>
</file>

<file path=xl/sharedStrings.xml><?xml version="1.0" encoding="utf-8"?>
<sst xmlns="http://schemas.openxmlformats.org/spreadsheetml/2006/main" count="78" uniqueCount="17">
  <si>
    <t>Copy</t>
  </si>
  <si>
    <t>N=1000</t>
  </si>
  <si>
    <t>Compare</t>
  </si>
  <si>
    <t>Среднее</t>
  </si>
  <si>
    <t>N=2000</t>
  </si>
  <si>
    <t>N=3000</t>
  </si>
  <si>
    <t>N=10000</t>
  </si>
  <si>
    <t>N=20000</t>
  </si>
  <si>
    <t>N=50000</t>
  </si>
  <si>
    <t>ИТОГО</t>
  </si>
  <si>
    <t>N</t>
  </si>
  <si>
    <t>Copmpare</t>
  </si>
  <si>
    <t>N(N+1)/2</t>
  </si>
  <si>
    <t>delta</t>
  </si>
  <si>
    <t>Случайный вектор</t>
  </si>
  <si>
    <t>Отсортированный вектор</t>
  </si>
  <si>
    <t>Обратно отсортированный вектор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</si>
</sst>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0" borderId="0" xfId="0" applyNumberFormat="1"/>
  </cellXfs>
  <cellStyles count="1">
    <cellStyle name="Обычный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insert!$U$3</c:f>
              <c:strCache>
                <c:ptCount val="1"/>
                <c:pt idx="0">
                  <c:v>Copy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insert!$T$4:$T$9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xVal>
          <c:yVal>
            <c:numRef>
              <c:f>insert!$U$4:$U$9</c:f>
              <c:numCache>
                <c:formatCode>General</c:formatCode>
                <c:ptCount val="6"/>
                <c:pt idx="0">
                  <c:v>251780.82</c:v>
                </c:pt>
                <c:pt idx="1">
                  <c:v>1001828.99</c:v>
                </c:pt>
                <c:pt idx="2">
                  <c:v>2249944.96</c:v>
                </c:pt>
                <c:pt idx="3">
                  <c:v>24993424.870000001</c:v>
                </c:pt>
                <c:pt idx="4">
                  <c:v>99891518.790000007</c:v>
                </c:pt>
                <c:pt idx="5">
                  <c:v>624433436.25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FC-4C33-AB05-F37714E29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336528"/>
        <c:axId val="596336888"/>
      </c:scatterChart>
      <c:valAx>
        <c:axId val="59633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6336888"/>
        <c:crosses val="autoZero"/>
        <c:crossBetween val="midCat"/>
      </c:valAx>
      <c:valAx>
        <c:axId val="59633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633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insert!$V$3</c:f>
              <c:strCache>
                <c:ptCount val="1"/>
                <c:pt idx="0">
                  <c:v>Copmpare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insert!$T$4:$T$9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xVal>
          <c:yVal>
            <c:numRef>
              <c:f>insert!$V$4:$V$9</c:f>
              <c:numCache>
                <c:formatCode>General</c:formatCode>
                <c:ptCount val="6"/>
                <c:pt idx="0">
                  <c:v>250781.82</c:v>
                </c:pt>
                <c:pt idx="1">
                  <c:v>999829.99</c:v>
                </c:pt>
                <c:pt idx="2">
                  <c:v>2246945.96</c:v>
                </c:pt>
                <c:pt idx="3">
                  <c:v>24983425.870000001</c:v>
                </c:pt>
                <c:pt idx="4">
                  <c:v>99871519.790000007</c:v>
                </c:pt>
                <c:pt idx="5">
                  <c:v>624383437.25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BF-4409-8E46-F1E19AF16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334728"/>
        <c:axId val="603334008"/>
      </c:scatterChart>
      <c:valAx>
        <c:axId val="603334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3334008"/>
        <c:crosses val="autoZero"/>
        <c:crossBetween val="midCat"/>
      </c:valAx>
      <c:valAx>
        <c:axId val="603334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3334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insert!$AD$3</c:f>
              <c:strCache>
                <c:ptCount val="1"/>
                <c:pt idx="0">
                  <c:v>Copy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insert!$AC$4:$AC$9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xVal>
          <c:yVal>
            <c:numRef>
              <c:f>insert!$AD$4:$AD$9</c:f>
              <c:numCache>
                <c:formatCode>General</c:formatCode>
                <c:ptCount val="6"/>
                <c:pt idx="0">
                  <c:v>1998</c:v>
                </c:pt>
                <c:pt idx="1">
                  <c:v>3998</c:v>
                </c:pt>
                <c:pt idx="2">
                  <c:v>5998</c:v>
                </c:pt>
                <c:pt idx="3">
                  <c:v>19998</c:v>
                </c:pt>
                <c:pt idx="4">
                  <c:v>39998</c:v>
                </c:pt>
                <c:pt idx="5">
                  <c:v>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E-498E-B623-94BD234C6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366536"/>
        <c:axId val="668366176"/>
      </c:scatterChart>
      <c:valAx>
        <c:axId val="668366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8366176"/>
        <c:crosses val="autoZero"/>
        <c:crossBetween val="midCat"/>
      </c:valAx>
      <c:valAx>
        <c:axId val="6683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8366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insert!$AE$3</c:f>
              <c:strCache>
                <c:ptCount val="1"/>
                <c:pt idx="0">
                  <c:v>Copmpare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insert!$AC$4:$AC$9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xVal>
          <c:yVal>
            <c:numRef>
              <c:f>insert!$AE$4:$AE$9</c:f>
              <c:numCache>
                <c:formatCode>General</c:formatCode>
                <c:ptCount val="6"/>
                <c:pt idx="0">
                  <c:v>999</c:v>
                </c:pt>
                <c:pt idx="1">
                  <c:v>1999</c:v>
                </c:pt>
                <c:pt idx="2">
                  <c:v>2999</c:v>
                </c:pt>
                <c:pt idx="3">
                  <c:v>9999</c:v>
                </c:pt>
                <c:pt idx="4">
                  <c:v>19999</c:v>
                </c:pt>
                <c:pt idx="5">
                  <c:v>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2B-43F9-A126-37C22D403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862128"/>
        <c:axId val="671865368"/>
      </c:scatterChart>
      <c:valAx>
        <c:axId val="67186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1865368"/>
        <c:crosses val="autoZero"/>
        <c:crossBetween val="midCat"/>
      </c:valAx>
      <c:valAx>
        <c:axId val="67186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186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insert!$AJ$3</c:f>
              <c:strCache>
                <c:ptCount val="1"/>
                <c:pt idx="0">
                  <c:v>Copy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insert!$AI$4:$AI$9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xVal>
          <c:yVal>
            <c:numRef>
              <c:f>insert!$AJ$4:$AJ$9</c:f>
              <c:numCache>
                <c:formatCode>General</c:formatCode>
                <c:ptCount val="6"/>
                <c:pt idx="0">
                  <c:v>501498</c:v>
                </c:pt>
                <c:pt idx="1">
                  <c:v>2002998</c:v>
                </c:pt>
                <c:pt idx="2">
                  <c:v>4504498</c:v>
                </c:pt>
                <c:pt idx="3">
                  <c:v>50014998</c:v>
                </c:pt>
                <c:pt idx="4">
                  <c:v>200029998</c:v>
                </c:pt>
                <c:pt idx="5">
                  <c:v>1250074998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EA-4DCC-8024-1F9914460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066000"/>
        <c:axId val="666061320"/>
      </c:scatterChart>
      <c:valAx>
        <c:axId val="66606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6061320"/>
        <c:crosses val="autoZero"/>
        <c:crossBetween val="midCat"/>
      </c:valAx>
      <c:valAx>
        <c:axId val="666061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606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insert!$AK$3</c:f>
              <c:strCache>
                <c:ptCount val="1"/>
                <c:pt idx="0">
                  <c:v>Copmpare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C000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D4E-43FC-B568-5B600881C0A2}"/>
              </c:ext>
            </c:extLst>
          </c:dPt>
          <c:xVal>
            <c:numRef>
              <c:f>insert!$AI$4:$AI$9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xVal>
          <c:yVal>
            <c:numRef>
              <c:f>insert!$AK$4:$AK$9</c:f>
              <c:numCache>
                <c:formatCode>General</c:formatCode>
                <c:ptCount val="6"/>
                <c:pt idx="0">
                  <c:v>500499</c:v>
                </c:pt>
                <c:pt idx="1">
                  <c:v>2000999</c:v>
                </c:pt>
                <c:pt idx="2">
                  <c:v>4501499</c:v>
                </c:pt>
                <c:pt idx="3">
                  <c:v>50004999</c:v>
                </c:pt>
                <c:pt idx="4">
                  <c:v>200009999</c:v>
                </c:pt>
                <c:pt idx="5">
                  <c:v>1250024999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4E-43FC-B568-5B600881C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020352"/>
        <c:axId val="669026112"/>
      </c:scatterChart>
      <c:valAx>
        <c:axId val="66902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9026112"/>
        <c:crosses val="autoZero"/>
        <c:crossBetween val="midCat"/>
      </c:valAx>
      <c:valAx>
        <c:axId val="66902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902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insert!$U$3</c:f>
              <c:strCache>
                <c:ptCount val="1"/>
                <c:pt idx="0">
                  <c:v>Copy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insert!$T$4:$T$9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xVal>
          <c:yVal>
            <c:numRef>
              <c:f>insert!$U$4:$U$9</c:f>
              <c:numCache>
                <c:formatCode>General</c:formatCode>
                <c:ptCount val="6"/>
                <c:pt idx="0">
                  <c:v>251780.82</c:v>
                </c:pt>
                <c:pt idx="1">
                  <c:v>1001828.99</c:v>
                </c:pt>
                <c:pt idx="2">
                  <c:v>2249944.96</c:v>
                </c:pt>
                <c:pt idx="3">
                  <c:v>24993424.870000001</c:v>
                </c:pt>
                <c:pt idx="4">
                  <c:v>99891518.790000007</c:v>
                </c:pt>
                <c:pt idx="5">
                  <c:v>624433436.25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57-4286-82CB-964ABB81D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336528"/>
        <c:axId val="596336888"/>
      </c:scatterChart>
      <c:valAx>
        <c:axId val="59633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6336888"/>
        <c:crosses val="autoZero"/>
        <c:crossBetween val="midCat"/>
      </c:valAx>
      <c:valAx>
        <c:axId val="59633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633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insert!$V$3</c:f>
              <c:strCache>
                <c:ptCount val="1"/>
                <c:pt idx="0">
                  <c:v>Copmpare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insert!$T$4:$T$9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xVal>
          <c:yVal>
            <c:numRef>
              <c:f>insert!$V$4:$V$9</c:f>
              <c:numCache>
                <c:formatCode>General</c:formatCode>
                <c:ptCount val="6"/>
                <c:pt idx="0">
                  <c:v>250781.82</c:v>
                </c:pt>
                <c:pt idx="1">
                  <c:v>999829.99</c:v>
                </c:pt>
                <c:pt idx="2">
                  <c:v>2246945.96</c:v>
                </c:pt>
                <c:pt idx="3">
                  <c:v>24983425.870000001</c:v>
                </c:pt>
                <c:pt idx="4">
                  <c:v>99871519.790000007</c:v>
                </c:pt>
                <c:pt idx="5">
                  <c:v>624383437.25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AB-4379-BCB1-D5FFAA4C5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334728"/>
        <c:axId val="603334008"/>
      </c:scatterChart>
      <c:valAx>
        <c:axId val="603334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3334008"/>
        <c:crosses val="autoZero"/>
        <c:crossBetween val="midCat"/>
      </c:valAx>
      <c:valAx>
        <c:axId val="603334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3334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shaker!$AC$3</c:f>
              <c:strCache>
                <c:ptCount val="1"/>
                <c:pt idx="0">
                  <c:v>Copmpare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shaker!$AA$4:$AA$9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xVal>
          <c:yVal>
            <c:numRef>
              <c:f>shaker!$AC$4:$AC$9</c:f>
              <c:numCache>
                <c:formatCode>General</c:formatCode>
                <c:ptCount val="6"/>
                <c:pt idx="0">
                  <c:v>5050</c:v>
                </c:pt>
                <c:pt idx="1">
                  <c:v>500500</c:v>
                </c:pt>
                <c:pt idx="2">
                  <c:v>2001000</c:v>
                </c:pt>
                <c:pt idx="3">
                  <c:v>4501500</c:v>
                </c:pt>
                <c:pt idx="4">
                  <c:v>50005000</c:v>
                </c:pt>
                <c:pt idx="5">
                  <c:v>200010000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A8-4210-A782-82A7B6348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47240"/>
        <c:axId val="663247960"/>
      </c:scatterChart>
      <c:valAx>
        <c:axId val="663247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3247960"/>
        <c:crosses val="autoZero"/>
        <c:crossBetween val="midCat"/>
      </c:valAx>
      <c:valAx>
        <c:axId val="66324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3247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shaker!$AI$3</c:f>
              <c:strCache>
                <c:ptCount val="1"/>
                <c:pt idx="0">
                  <c:v>Copy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shaker!$AH$4:$AH$9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xVal>
          <c:yVal>
            <c:numRef>
              <c:f>shaker!$AI$4:$AI$9</c:f>
              <c:numCache>
                <c:formatCode>General</c:formatCode>
                <c:ptCount val="6"/>
                <c:pt idx="0">
                  <c:v>1498500</c:v>
                </c:pt>
                <c:pt idx="1">
                  <c:v>5997000</c:v>
                </c:pt>
                <c:pt idx="2">
                  <c:v>13495500</c:v>
                </c:pt>
                <c:pt idx="3">
                  <c:v>149985000</c:v>
                </c:pt>
                <c:pt idx="4">
                  <c:v>599970000</c:v>
                </c:pt>
                <c:pt idx="5">
                  <c:v>3749925000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E7-46BF-A438-1FE92FA69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69648"/>
        <c:axId val="132270368"/>
      </c:scatterChart>
      <c:valAx>
        <c:axId val="13226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70368"/>
        <c:crosses val="autoZero"/>
        <c:crossBetween val="midCat"/>
      </c:valAx>
      <c:valAx>
        <c:axId val="13227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6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shaker!$AJ$3</c:f>
              <c:strCache>
                <c:ptCount val="1"/>
                <c:pt idx="0">
                  <c:v>Copmpare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shaker!$AH$4:$AH$9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xVal>
          <c:yVal>
            <c:numRef>
              <c:f>shaker!$AJ$4:$AJ$9</c:f>
              <c:numCache>
                <c:formatCode>General</c:formatCode>
                <c:ptCount val="6"/>
                <c:pt idx="0">
                  <c:v>500500</c:v>
                </c:pt>
                <c:pt idx="1">
                  <c:v>2001000</c:v>
                </c:pt>
                <c:pt idx="2">
                  <c:v>4501500</c:v>
                </c:pt>
                <c:pt idx="3">
                  <c:v>50005000</c:v>
                </c:pt>
                <c:pt idx="4">
                  <c:v>200010000</c:v>
                </c:pt>
                <c:pt idx="5">
                  <c:v>1250025000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87-46F6-A231-7548C853F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236368"/>
        <c:axId val="600232768"/>
      </c:scatterChart>
      <c:valAx>
        <c:axId val="60023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0232768"/>
        <c:crosses val="autoZero"/>
        <c:crossBetween val="midCat"/>
      </c:valAx>
      <c:valAx>
        <c:axId val="60023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023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133943</xdr:colOff>
      <xdr:row>9</xdr:row>
      <xdr:rowOff>125612</xdr:rowOff>
    </xdr:from>
    <xdr:to>
      <xdr:col>25</xdr:col>
      <xdr:colOff>193475</xdr:colOff>
      <xdr:row>24</xdr:row>
      <xdr:rowOff>11312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44B4CD1-9D67-7E15-0E42-FAB40A832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116086</xdr:colOff>
      <xdr:row>24</xdr:row>
      <xdr:rowOff>107751</xdr:rowOff>
    </xdr:from>
    <xdr:to>
      <xdr:col>25</xdr:col>
      <xdr:colOff>175618</xdr:colOff>
      <xdr:row>38</xdr:row>
      <xdr:rowOff>183951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0128223-8B1A-DFB6-724A-9D086A888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236963</xdr:colOff>
      <xdr:row>9</xdr:row>
      <xdr:rowOff>147754</xdr:rowOff>
    </xdr:from>
    <xdr:to>
      <xdr:col>33</xdr:col>
      <xdr:colOff>548268</xdr:colOff>
      <xdr:row>24</xdr:row>
      <xdr:rowOff>33454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72B221F-FF20-608A-0590-D5B4997E6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288508</xdr:colOff>
      <xdr:row>24</xdr:row>
      <xdr:rowOff>65427</xdr:rowOff>
    </xdr:from>
    <xdr:to>
      <xdr:col>33</xdr:col>
      <xdr:colOff>599813</xdr:colOff>
      <xdr:row>38</xdr:row>
      <xdr:rowOff>141627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4AEF719-4642-2D86-4647-04A5ADDD5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544711</xdr:colOff>
      <xdr:row>9</xdr:row>
      <xdr:rowOff>125611</xdr:rowOff>
    </xdr:from>
    <xdr:to>
      <xdr:col>41</xdr:col>
      <xdr:colOff>258961</xdr:colOff>
      <xdr:row>24</xdr:row>
      <xdr:rowOff>11311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229B685-A79A-6AB1-F4A9-AB6E4201C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20835</xdr:colOff>
      <xdr:row>24</xdr:row>
      <xdr:rowOff>77985</xdr:rowOff>
    </xdr:from>
    <xdr:to>
      <xdr:col>41</xdr:col>
      <xdr:colOff>342304</xdr:colOff>
      <xdr:row>38</xdr:row>
      <xdr:rowOff>154185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78112D67-FE2F-70B6-C6FF-ABDEC19AB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274311</xdr:colOff>
      <xdr:row>9</xdr:row>
      <xdr:rowOff>75198</xdr:rowOff>
    </xdr:from>
    <xdr:to>
      <xdr:col>24</xdr:col>
      <xdr:colOff>260684</xdr:colOff>
      <xdr:row>24</xdr:row>
      <xdr:rowOff>1286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3B8F4B5-911C-4D9E-BD2C-9C9889E3A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116087</xdr:colOff>
      <xdr:row>24</xdr:row>
      <xdr:rowOff>120315</xdr:rowOff>
    </xdr:from>
    <xdr:to>
      <xdr:col>24</xdr:col>
      <xdr:colOff>190501</xdr:colOff>
      <xdr:row>38</xdr:row>
      <xdr:rowOff>183950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CE56FC9-49DE-46EF-9D34-35FD8E03B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594059</xdr:colOff>
      <xdr:row>10</xdr:row>
      <xdr:rowOff>102269</xdr:rowOff>
    </xdr:from>
    <xdr:to>
      <xdr:col>32</xdr:col>
      <xdr:colOff>273217</xdr:colOff>
      <xdr:row>24</xdr:row>
      <xdr:rowOff>178469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661EEC1-2C84-F078-4453-9E6E921B6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443665</xdr:colOff>
      <xdr:row>9</xdr:row>
      <xdr:rowOff>152401</xdr:rowOff>
    </xdr:from>
    <xdr:to>
      <xdr:col>40</xdr:col>
      <xdr:colOff>122823</xdr:colOff>
      <xdr:row>24</xdr:row>
      <xdr:rowOff>38101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6B2C643-A9B6-8DC1-A6FA-E92283765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400707</xdr:colOff>
      <xdr:row>24</xdr:row>
      <xdr:rowOff>96563</xdr:rowOff>
    </xdr:from>
    <xdr:to>
      <xdr:col>40</xdr:col>
      <xdr:colOff>85397</xdr:colOff>
      <xdr:row>38</xdr:row>
      <xdr:rowOff>172763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7097A2E-5447-9DE5-D8FE-895C15E1B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EDCCC0-1C11-4F69-99A1-6BB0C1916E3B}" name="Таблица1" displayName="Таблица1" ref="T3:X9" totalsRowShown="0">
  <autoFilter ref="T3:X9" xr:uid="{D7EDCCC0-1C11-4F69-99A1-6BB0C1916E3B}"/>
  <tableColumns count="5">
    <tableColumn id="1" xr3:uid="{20DA71F8-216C-4EA7-A176-1DF5123058D8}" name="N"/>
    <tableColumn id="2" xr3:uid="{B2E45134-AD1A-4B53-B393-1667DC07BB7C}" name="Copy"/>
    <tableColumn id="3" xr3:uid="{2F6436DB-BE89-4A0D-A63F-B4A1477B160C}" name="Copmpare"/>
    <tableColumn id="4" xr3:uid="{CCB95D36-3C8A-4B66-96DE-0BF233A9A9CD}" name="N(N+1)/2" dataDxfId="10">
      <calculatedColumnFormula>Таблица1[[#This Row],[N]]*(Таблица1[[#This Row],[N]]+1)/2</calculatedColumnFormula>
    </tableColumn>
    <tableColumn id="5" xr3:uid="{90F32317-478C-4B2C-8EAB-6C0B20BEE567}" name="delta" dataDxfId="8">
      <calculatedColumnFormula>Таблица1[[#This Row],[Copy]]-Таблица1[[#This Row],[N(N+1)/2]]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FDE363-6659-48EA-963E-1B93B6D8FC10}" name="Таблица14" displayName="Таблица14" ref="AC3:AG9" totalsRowShown="0">
  <autoFilter ref="AC3:AG9" xr:uid="{33FDE363-6659-48EA-963E-1B93B6D8FC10}"/>
  <tableColumns count="5">
    <tableColumn id="1" xr3:uid="{7492313C-2EC6-444A-B5B2-BD765681FCC3}" name="N"/>
    <tableColumn id="2" xr3:uid="{B1B1ADA8-B949-4342-A5C3-8E98738043B3}" name="Copy"/>
    <tableColumn id="3" xr3:uid="{8AC0B571-0AA7-4E3F-9088-D8AA37C3F986}" name="Copmpare"/>
    <tableColumn id="4" xr3:uid="{A99C760E-4A3F-4C36-881F-F9084A7CA896}" name="N(N+1)/2" dataDxfId="7">
      <calculatedColumnFormula>Таблица14[[#This Row],[N]]*(Таблица14[[#This Row],[N]]+1)/2</calculatedColumnFormula>
    </tableColumn>
    <tableColumn id="5" xr3:uid="{6227A3F4-AF77-4782-AB4D-EE7793B7768A}" name="delta" dataDxfId="6">
      <calculatedColumnFormula>Таблица14[[#This Row],[Copy]]-Таблица14[[#This Row],[N(N+1)/2]]</calculatedColumnFormula>
    </tableColumn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1D748D-089F-4FD6-A5B2-465F08D9B026}" name="Таблица145" displayName="Таблица145" ref="AI3:AM9" totalsRowShown="0">
  <autoFilter ref="AI3:AM9" xr:uid="{291D748D-089F-4FD6-A5B2-465F08D9B026}"/>
  <tableColumns count="5">
    <tableColumn id="1" xr3:uid="{6312469D-C5C9-4D33-90FA-04264418D8DC}" name="N"/>
    <tableColumn id="2" xr3:uid="{3C245D63-FB14-4F52-848C-BBD64A1B95EC}" name="Copy"/>
    <tableColumn id="3" xr3:uid="{FEF712ED-3E69-4AA0-83CA-1873E7BF359C}" name="Copmpare"/>
    <tableColumn id="4" xr3:uid="{1261C555-0677-44B3-9F75-CC34F0B89324}" name="N(N+1)/2" dataDxfId="5">
      <calculatedColumnFormula>Таблица145[[#This Row],[N]]*(Таблица145[[#This Row],[N]]+1)/2</calculatedColumnFormula>
    </tableColumn>
    <tableColumn id="5" xr3:uid="{883F0698-71BE-4207-9562-8E0F30F8DAF9}" name="delta" dataDxfId="4">
      <calculatedColumnFormula>Таблица145[[#This Row],[Copy]]-Таблица145[[#This Row],[N(N+1)/2]]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F0A2E4-6BCF-4EF5-8A90-BE45785F04D9}" name="Таблица13" displayName="Таблица13" ref="T3:W9" totalsRowShown="0">
  <autoFilter ref="T3:W9" xr:uid="{0DF0A2E4-6BCF-4EF5-8A90-BE45785F04D9}"/>
  <tableColumns count="4">
    <tableColumn id="1" xr3:uid="{C57A0E91-8E12-49A1-8CBB-446B0403A72D}" name="N"/>
    <tableColumn id="2" xr3:uid="{D415A034-0DE5-4607-A2E0-44529778A867}" name="Copy"/>
    <tableColumn id="3" xr3:uid="{95FCB4FD-F55F-48D3-BC5A-FB39DAB0C032}" name="Copmpare"/>
    <tableColumn id="4" xr3:uid="{B958D866-177F-4AEA-A062-EBF0D075E221}" name="N(N+1)/2" dataDxfId="9">
      <calculatedColumnFormula>Таблица13[[#This Row],[N]]*(Таблица13[[#This Row],[N]]+1)/2</calculatedColumnFormula>
    </tableColumn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3AA8E1-420C-4337-90F7-ABAF8C38C323}" name="Таблица146" displayName="Таблица146" ref="AA3:AE10" totalsRowShown="0">
  <autoFilter ref="AA3:AE10" xr:uid="{8C3AA8E1-420C-4337-90F7-ABAF8C38C323}"/>
  <tableColumns count="5">
    <tableColumn id="1" xr3:uid="{FBCFE7EB-A136-4FC0-9FE6-65F6B8C63AD2}" name="N"/>
    <tableColumn id="2" xr3:uid="{B639F8F6-2149-4055-A475-BD1340A167FC}" name="Copy"/>
    <tableColumn id="3" xr3:uid="{F9CE21A3-379A-4E99-A8E4-BC2CC2C56247}" name="Copmpare"/>
    <tableColumn id="4" xr3:uid="{6959C0DA-5B57-4314-AFE6-671D5B912BD5}" name="N(N+1)/2" dataDxfId="3">
      <calculatedColumnFormula>Таблица146[[#This Row],[N]]*(Таблица146[[#This Row],[N]]+1)/2</calculatedColumnFormula>
    </tableColumn>
    <tableColumn id="5" xr3:uid="{A0FC6046-AEF3-4F76-A514-1637B338006D}" name="delta" dataDxfId="2">
      <calculatedColumnFormula>Таблица146[[#This Row],[Copy]]-Таблица146[[#This Row],[N(N+1)/2]]</calculatedColumnFormula>
    </tableColumn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0BB948-1C2B-4D13-AE76-A82D3170418D}" name="Таблица1457" displayName="Таблица1457" ref="AH3:AL9" totalsRowShown="0">
  <autoFilter ref="AH3:AL9" xr:uid="{400BB948-1C2B-4D13-AE76-A82D3170418D}"/>
  <tableColumns count="5">
    <tableColumn id="1" xr3:uid="{1CD3F9FD-6FAB-410D-9527-EA00F030A751}" name="N"/>
    <tableColumn id="2" xr3:uid="{595067B1-2489-48ED-8DA1-82481BE229FE}" name="Copy"/>
    <tableColumn id="3" xr3:uid="{E151BE7F-6157-4093-B9A1-4A9C30C78ADB}" name="Copmpare"/>
    <tableColumn id="4" xr3:uid="{80416176-1C90-4AD1-ABA3-CC05A887E002}" name="N(N+1)/2" dataDxfId="1">
      <calculatedColumnFormula>Таблица1457[[#This Row],[N]]*(Таблица1457[[#This Row],[N]]+1)/2</calculatedColumnFormula>
    </tableColumn>
    <tableColumn id="5" xr3:uid="{B022336C-80F8-4572-A4B0-570D39F700F7}" name="delta" dataDxfId="0">
      <calculatedColumnFormula>Таблица1457[[#This Row],[Copy]]-Таблица1457[[#This Row],[N(N+1)/2]]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4"/>
  <sheetViews>
    <sheetView topLeftCell="V1" zoomScale="160" zoomScaleNormal="160" workbookViewId="0">
      <selection activeCell="AK3" activeCellId="1" sqref="AI3:AI9 AK3:AK9"/>
    </sheetView>
  </sheetViews>
  <sheetFormatPr defaultRowHeight="15" x14ac:dyDescent="0.25"/>
  <cols>
    <col min="17" max="17" width="8.28515625" customWidth="1"/>
    <col min="21" max="22" width="15.28515625" customWidth="1"/>
  </cols>
  <sheetData>
    <row r="1" spans="1:39" x14ac:dyDescent="0.25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C1" s="3" t="s">
        <v>15</v>
      </c>
      <c r="AD1" s="3"/>
      <c r="AE1" s="3"/>
      <c r="AF1" s="3"/>
      <c r="AG1" s="3"/>
      <c r="AI1" s="3" t="s">
        <v>16</v>
      </c>
      <c r="AJ1" s="3"/>
      <c r="AK1" s="3"/>
      <c r="AL1" s="3"/>
      <c r="AM1" s="3"/>
    </row>
    <row r="2" spans="1:39" x14ac:dyDescent="0.25">
      <c r="B2" t="s">
        <v>1</v>
      </c>
      <c r="E2" t="s">
        <v>4</v>
      </c>
      <c r="H2" t="s">
        <v>5</v>
      </c>
      <c r="K2" t="s">
        <v>6</v>
      </c>
      <c r="N2" t="s">
        <v>7</v>
      </c>
      <c r="Q2" t="s">
        <v>8</v>
      </c>
      <c r="T2" s="2" t="s">
        <v>9</v>
      </c>
      <c r="U2" s="2"/>
      <c r="AC2" s="2" t="s">
        <v>9</v>
      </c>
      <c r="AD2" s="2"/>
      <c r="AI2" s="2" t="s">
        <v>9</v>
      </c>
      <c r="AJ2" s="2"/>
    </row>
    <row r="3" spans="1:39" x14ac:dyDescent="0.25">
      <c r="B3" t="s">
        <v>0</v>
      </c>
      <c r="C3" t="s">
        <v>2</v>
      </c>
      <c r="E3" t="s">
        <v>0</v>
      </c>
      <c r="F3" t="s">
        <v>2</v>
      </c>
      <c r="H3" t="s">
        <v>0</v>
      </c>
      <c r="I3" t="s">
        <v>2</v>
      </c>
      <c r="K3" t="s">
        <v>0</v>
      </c>
      <c r="L3" t="s">
        <v>2</v>
      </c>
      <c r="N3" t="s">
        <v>0</v>
      </c>
      <c r="O3" t="s">
        <v>2</v>
      </c>
      <c r="Q3" t="s">
        <v>0</v>
      </c>
      <c r="R3" t="s">
        <v>2</v>
      </c>
      <c r="T3" t="s">
        <v>10</v>
      </c>
      <c r="U3" t="s">
        <v>0</v>
      </c>
      <c r="V3" t="s">
        <v>11</v>
      </c>
      <c r="W3" t="s">
        <v>12</v>
      </c>
      <c r="X3" t="s">
        <v>13</v>
      </c>
      <c r="AC3" t="s">
        <v>10</v>
      </c>
      <c r="AD3" t="s">
        <v>0</v>
      </c>
      <c r="AE3" t="s">
        <v>11</v>
      </c>
      <c r="AF3" t="s">
        <v>12</v>
      </c>
      <c r="AG3" t="s">
        <v>13</v>
      </c>
      <c r="AI3" t="s">
        <v>10</v>
      </c>
      <c r="AJ3" t="s">
        <v>0</v>
      </c>
      <c r="AK3" t="s">
        <v>11</v>
      </c>
      <c r="AL3" t="s">
        <v>12</v>
      </c>
      <c r="AM3" t="s">
        <v>13</v>
      </c>
    </row>
    <row r="4" spans="1:39" x14ac:dyDescent="0.25">
      <c r="B4">
        <v>252828</v>
      </c>
      <c r="C4">
        <v>251829</v>
      </c>
      <c r="E4">
        <v>1001274</v>
      </c>
      <c r="F4">
        <v>999275</v>
      </c>
      <c r="H4">
        <v>2256620</v>
      </c>
      <c r="I4">
        <v>2253621</v>
      </c>
      <c r="K4">
        <v>25045886</v>
      </c>
      <c r="L4">
        <v>25035887</v>
      </c>
      <c r="N4">
        <v>99630544</v>
      </c>
      <c r="O4">
        <v>99610545</v>
      </c>
      <c r="Q4">
        <v>623725492</v>
      </c>
      <c r="R4">
        <v>623675493</v>
      </c>
      <c r="T4">
        <v>1000</v>
      </c>
      <c r="U4">
        <f>B104</f>
        <v>251780.82</v>
      </c>
      <c r="V4">
        <f>C104</f>
        <v>250781.82</v>
      </c>
      <c r="W4">
        <f>Таблица1[[#This Row],[N]]*(Таблица1[[#This Row],[N]]+1)/2</f>
        <v>500500</v>
      </c>
      <c r="X4">
        <f>Таблица1[[#This Row],[Copy]]-Таблица1[[#This Row],[N(N+1)/2]]</f>
        <v>-248719.18</v>
      </c>
      <c r="AC4">
        <v>1000</v>
      </c>
      <c r="AD4">
        <v>1998</v>
      </c>
      <c r="AE4">
        <v>999</v>
      </c>
      <c r="AF4">
        <f>Таблица14[[#This Row],[N]]*(Таблица14[[#This Row],[N]]+1)/2</f>
        <v>500500</v>
      </c>
      <c r="AG4">
        <f>Таблица14[[#This Row],[Copy]]-Таблица14[[#This Row],[N(N+1)/2]]</f>
        <v>-498502</v>
      </c>
      <c r="AI4">
        <v>1000</v>
      </c>
      <c r="AJ4">
        <v>501498</v>
      </c>
      <c r="AK4">
        <v>500499</v>
      </c>
      <c r="AL4">
        <f>Таблица145[[#This Row],[N]]*(Таблица145[[#This Row],[N]]+1)/2</f>
        <v>500500</v>
      </c>
      <c r="AM4">
        <f>Таблица145[[#This Row],[Copy]]-Таблица145[[#This Row],[N(N+1)/2]]</f>
        <v>998</v>
      </c>
    </row>
    <row r="5" spans="1:39" x14ac:dyDescent="0.25">
      <c r="B5">
        <v>247877</v>
      </c>
      <c r="C5">
        <v>246878</v>
      </c>
      <c r="E5">
        <v>992089</v>
      </c>
      <c r="F5">
        <v>990090</v>
      </c>
      <c r="H5">
        <v>2272028</v>
      </c>
      <c r="I5">
        <v>2269029</v>
      </c>
      <c r="K5">
        <v>24994970</v>
      </c>
      <c r="L5">
        <v>24984971</v>
      </c>
      <c r="N5">
        <v>99052750</v>
      </c>
      <c r="O5">
        <v>99032751</v>
      </c>
      <c r="Q5">
        <v>623931619</v>
      </c>
      <c r="R5">
        <v>623881620</v>
      </c>
      <c r="T5">
        <v>2000</v>
      </c>
      <c r="U5">
        <f>E104</f>
        <v>1001828.99</v>
      </c>
      <c r="V5">
        <f>F104</f>
        <v>999829.99</v>
      </c>
      <c r="W5">
        <f>Таблица1[[#This Row],[N]]*(Таблица1[[#This Row],[N]]+1)/2</f>
        <v>2001000</v>
      </c>
      <c r="X5">
        <f>Таблица1[[#This Row],[Copy]]-Таблица1[[#This Row],[N(N+1)/2]]</f>
        <v>-999171.01</v>
      </c>
      <c r="AC5">
        <v>2000</v>
      </c>
      <c r="AD5">
        <v>3998</v>
      </c>
      <c r="AE5">
        <v>1999</v>
      </c>
      <c r="AF5">
        <f>Таблица14[[#This Row],[N]]*(Таблица14[[#This Row],[N]]+1)/2</f>
        <v>2001000</v>
      </c>
      <c r="AG5">
        <f>Таблица14[[#This Row],[Copy]]-Таблица14[[#This Row],[N(N+1)/2]]</f>
        <v>-1997002</v>
      </c>
      <c r="AI5">
        <v>2000</v>
      </c>
      <c r="AJ5">
        <v>2002998</v>
      </c>
      <c r="AK5">
        <v>2000999</v>
      </c>
      <c r="AL5">
        <f>Таблица145[[#This Row],[N]]*(Таблица145[[#This Row],[N]]+1)/2</f>
        <v>2001000</v>
      </c>
      <c r="AM5">
        <f>Таблица145[[#This Row],[Copy]]-Таблица145[[#This Row],[N(N+1)/2]]</f>
        <v>1998</v>
      </c>
    </row>
    <row r="6" spans="1:39" x14ac:dyDescent="0.25">
      <c r="B6">
        <v>257658</v>
      </c>
      <c r="C6">
        <v>256659</v>
      </c>
      <c r="E6">
        <v>1025151</v>
      </c>
      <c r="F6">
        <v>1023152</v>
      </c>
      <c r="H6">
        <v>2235346</v>
      </c>
      <c r="I6">
        <v>2232347</v>
      </c>
      <c r="K6">
        <v>25146499</v>
      </c>
      <c r="L6">
        <v>25136500</v>
      </c>
      <c r="N6">
        <v>100213465</v>
      </c>
      <c r="O6">
        <v>100193466</v>
      </c>
      <c r="Q6">
        <v>625990571</v>
      </c>
      <c r="R6">
        <v>625940572</v>
      </c>
      <c r="T6">
        <v>3000</v>
      </c>
      <c r="U6">
        <f>H104</f>
        <v>2249944.96</v>
      </c>
      <c r="V6">
        <f>I104</f>
        <v>2246945.96</v>
      </c>
      <c r="W6">
        <f>Таблица1[[#This Row],[N]]*(Таблица1[[#This Row],[N]]+1)/2</f>
        <v>4501500</v>
      </c>
      <c r="X6">
        <f>Таблица1[[#This Row],[Copy]]-Таблица1[[#This Row],[N(N+1)/2]]</f>
        <v>-2251555.04</v>
      </c>
      <c r="AC6">
        <v>3000</v>
      </c>
      <c r="AD6">
        <v>5998</v>
      </c>
      <c r="AE6">
        <v>2999</v>
      </c>
      <c r="AF6">
        <f>Таблица14[[#This Row],[N]]*(Таблица14[[#This Row],[N]]+1)/2</f>
        <v>4501500</v>
      </c>
      <c r="AG6">
        <f>Таблица14[[#This Row],[Copy]]-Таблица14[[#This Row],[N(N+1)/2]]</f>
        <v>-4495502</v>
      </c>
      <c r="AI6">
        <v>3000</v>
      </c>
      <c r="AJ6">
        <v>4504498</v>
      </c>
      <c r="AK6">
        <v>4501499</v>
      </c>
      <c r="AL6">
        <f>Таблица145[[#This Row],[N]]*(Таблица145[[#This Row],[N]]+1)/2</f>
        <v>4501500</v>
      </c>
      <c r="AM6">
        <f>Таблица145[[#This Row],[Copy]]-Таблица145[[#This Row],[N(N+1)/2]]</f>
        <v>2998</v>
      </c>
    </row>
    <row r="7" spans="1:39" x14ac:dyDescent="0.25">
      <c r="B7">
        <v>252560</v>
      </c>
      <c r="C7">
        <v>251561</v>
      </c>
      <c r="E7">
        <v>991684</v>
      </c>
      <c r="F7">
        <v>989685</v>
      </c>
      <c r="H7">
        <v>2265346</v>
      </c>
      <c r="I7">
        <v>2262347</v>
      </c>
      <c r="K7">
        <v>24872744</v>
      </c>
      <c r="L7">
        <v>24862745</v>
      </c>
      <c r="N7">
        <v>100495412</v>
      </c>
      <c r="O7">
        <v>100475413</v>
      </c>
      <c r="Q7">
        <v>625962576</v>
      </c>
      <c r="R7">
        <v>625912577</v>
      </c>
      <c r="T7">
        <v>10000</v>
      </c>
      <c r="U7">
        <f>K104</f>
        <v>24993424.870000001</v>
      </c>
      <c r="V7">
        <f>L104</f>
        <v>24983425.870000001</v>
      </c>
      <c r="W7">
        <f>Таблица1[[#This Row],[N]]*(Таблица1[[#This Row],[N]]+1)/2</f>
        <v>50005000</v>
      </c>
      <c r="X7">
        <f>Таблица1[[#This Row],[Copy]]-Таблица1[[#This Row],[N(N+1)/2]]</f>
        <v>-25011575.129999999</v>
      </c>
      <c r="AC7">
        <v>10000</v>
      </c>
      <c r="AD7">
        <v>19998</v>
      </c>
      <c r="AE7">
        <v>9999</v>
      </c>
      <c r="AF7">
        <f>Таблица14[[#This Row],[N]]*(Таблица14[[#This Row],[N]]+1)/2</f>
        <v>50005000</v>
      </c>
      <c r="AG7">
        <f>Таблица14[[#This Row],[Copy]]-Таблица14[[#This Row],[N(N+1)/2]]</f>
        <v>-49985002</v>
      </c>
      <c r="AI7">
        <v>10000</v>
      </c>
      <c r="AJ7">
        <v>50014998</v>
      </c>
      <c r="AK7">
        <v>50004999</v>
      </c>
      <c r="AL7">
        <f>Таблица145[[#This Row],[N]]*(Таблица145[[#This Row],[N]]+1)/2</f>
        <v>50005000</v>
      </c>
      <c r="AM7">
        <f>Таблица145[[#This Row],[Copy]]-Таблица145[[#This Row],[N(N+1)/2]]</f>
        <v>9998</v>
      </c>
    </row>
    <row r="8" spans="1:39" x14ac:dyDescent="0.25">
      <c r="B8">
        <v>246649</v>
      </c>
      <c r="C8">
        <v>245650</v>
      </c>
      <c r="E8">
        <v>1008786</v>
      </c>
      <c r="F8">
        <v>1006787</v>
      </c>
      <c r="H8">
        <v>2231979</v>
      </c>
      <c r="I8">
        <v>2228980</v>
      </c>
      <c r="K8">
        <v>24921955</v>
      </c>
      <c r="L8">
        <v>24911956</v>
      </c>
      <c r="N8">
        <v>99609301</v>
      </c>
      <c r="O8">
        <v>99589302</v>
      </c>
      <c r="Q8">
        <v>626700757</v>
      </c>
      <c r="R8">
        <v>626650758</v>
      </c>
      <c r="T8">
        <v>20000</v>
      </c>
      <c r="U8">
        <f>N104</f>
        <v>99891518.790000007</v>
      </c>
      <c r="V8">
        <f>O104</f>
        <v>99871519.790000007</v>
      </c>
      <c r="W8">
        <f>Таблица1[[#This Row],[N]]*(Таблица1[[#This Row],[N]]+1)/2</f>
        <v>200010000</v>
      </c>
      <c r="X8">
        <f>Таблица1[[#This Row],[Copy]]-Таблица1[[#This Row],[N(N+1)/2]]</f>
        <v>-100118481.20999999</v>
      </c>
      <c r="AC8">
        <v>20000</v>
      </c>
      <c r="AD8">
        <v>39998</v>
      </c>
      <c r="AE8">
        <v>19999</v>
      </c>
      <c r="AF8">
        <f>Таблица14[[#This Row],[N]]*(Таблица14[[#This Row],[N]]+1)/2</f>
        <v>200010000</v>
      </c>
      <c r="AG8">
        <f>Таблица14[[#This Row],[Copy]]-Таблица14[[#This Row],[N(N+1)/2]]</f>
        <v>-199970002</v>
      </c>
      <c r="AI8">
        <v>20000</v>
      </c>
      <c r="AJ8">
        <v>200029998</v>
      </c>
      <c r="AK8">
        <v>200009999</v>
      </c>
      <c r="AL8">
        <f>Таблица145[[#This Row],[N]]*(Таблица145[[#This Row],[N]]+1)/2</f>
        <v>200010000</v>
      </c>
      <c r="AM8">
        <f>Таблица145[[#This Row],[Copy]]-Таблица145[[#This Row],[N(N+1)/2]]</f>
        <v>19998</v>
      </c>
    </row>
    <row r="9" spans="1:39" x14ac:dyDescent="0.25">
      <c r="B9">
        <v>254860</v>
      </c>
      <c r="C9">
        <v>253861</v>
      </c>
      <c r="E9">
        <v>1008888</v>
      </c>
      <c r="F9">
        <v>1006889</v>
      </c>
      <c r="H9">
        <v>2229737</v>
      </c>
      <c r="I9">
        <v>2226738</v>
      </c>
      <c r="K9">
        <v>24844763</v>
      </c>
      <c r="L9">
        <v>24834764</v>
      </c>
      <c r="N9">
        <v>99383374</v>
      </c>
      <c r="O9">
        <v>99363375</v>
      </c>
      <c r="Q9">
        <v>624755305</v>
      </c>
      <c r="R9">
        <v>624705306</v>
      </c>
      <c r="T9">
        <v>50000</v>
      </c>
      <c r="U9">
        <f>Q104</f>
        <v>624433436.25</v>
      </c>
      <c r="V9">
        <f>R104</f>
        <v>624383437.25</v>
      </c>
      <c r="W9">
        <f>Таблица1[[#This Row],[N]]*(Таблица1[[#This Row],[N]]+1)/2</f>
        <v>1250025000</v>
      </c>
      <c r="X9">
        <f>Таблица1[[#This Row],[Copy]]-Таблица1[[#This Row],[N(N+1)/2]]</f>
        <v>-625591563.75</v>
      </c>
      <c r="AC9">
        <v>50000</v>
      </c>
      <c r="AD9">
        <v>99998</v>
      </c>
      <c r="AE9">
        <v>49999</v>
      </c>
      <c r="AF9">
        <f>Таблица14[[#This Row],[N]]*(Таблица14[[#This Row],[N]]+1)/2</f>
        <v>1250025000</v>
      </c>
      <c r="AG9">
        <f>Таблица14[[#This Row],[Copy]]-Таблица14[[#This Row],[N(N+1)/2]]</f>
        <v>-1249925002</v>
      </c>
      <c r="AI9">
        <v>50000</v>
      </c>
      <c r="AJ9">
        <v>1250074998</v>
      </c>
      <c r="AK9">
        <v>1250024999</v>
      </c>
      <c r="AL9">
        <f>Таблица145[[#This Row],[N]]*(Таблица145[[#This Row],[N]]+1)/2</f>
        <v>1250025000</v>
      </c>
      <c r="AM9">
        <f>Таблица145[[#This Row],[Copy]]-Таблица145[[#This Row],[N(N+1)/2]]</f>
        <v>49998</v>
      </c>
    </row>
    <row r="10" spans="1:39" x14ac:dyDescent="0.25">
      <c r="B10">
        <v>237208</v>
      </c>
      <c r="C10">
        <v>236209</v>
      </c>
      <c r="E10">
        <v>977097</v>
      </c>
      <c r="F10">
        <v>975098</v>
      </c>
      <c r="H10">
        <v>2255104</v>
      </c>
      <c r="I10">
        <v>2252105</v>
      </c>
      <c r="K10">
        <v>24638763</v>
      </c>
      <c r="L10">
        <v>24628764</v>
      </c>
      <c r="N10">
        <v>99296864</v>
      </c>
      <c r="O10">
        <v>99276865</v>
      </c>
      <c r="Q10">
        <v>625359610</v>
      </c>
      <c r="R10">
        <v>625309611</v>
      </c>
    </row>
    <row r="11" spans="1:39" x14ac:dyDescent="0.25">
      <c r="B11">
        <v>245407</v>
      </c>
      <c r="C11">
        <v>244408</v>
      </c>
      <c r="E11">
        <v>1007783</v>
      </c>
      <c r="F11">
        <v>1005784</v>
      </c>
      <c r="H11">
        <v>2284706</v>
      </c>
      <c r="I11">
        <v>2281707</v>
      </c>
      <c r="K11">
        <v>24893912</v>
      </c>
      <c r="L11">
        <v>24883913</v>
      </c>
      <c r="N11">
        <v>100184762</v>
      </c>
      <c r="O11">
        <v>100164763</v>
      </c>
      <c r="Q11">
        <v>630662182</v>
      </c>
      <c r="R11">
        <v>630612183</v>
      </c>
    </row>
    <row r="12" spans="1:39" x14ac:dyDescent="0.25">
      <c r="B12">
        <v>246013</v>
      </c>
      <c r="C12">
        <v>245014</v>
      </c>
      <c r="E12">
        <v>1003986</v>
      </c>
      <c r="F12">
        <v>1001987</v>
      </c>
      <c r="H12">
        <v>2256313</v>
      </c>
      <c r="I12">
        <v>2253314</v>
      </c>
      <c r="K12">
        <v>24801518</v>
      </c>
      <c r="L12">
        <v>24791519</v>
      </c>
      <c r="N12">
        <v>99502774</v>
      </c>
      <c r="O12">
        <v>99482775</v>
      </c>
      <c r="Q12">
        <v>623114391</v>
      </c>
      <c r="R12">
        <v>623064392</v>
      </c>
    </row>
    <row r="13" spans="1:39" x14ac:dyDescent="0.25">
      <c r="B13">
        <v>252315</v>
      </c>
      <c r="C13">
        <v>251316</v>
      </c>
      <c r="E13">
        <v>1028211</v>
      </c>
      <c r="F13">
        <v>1026212</v>
      </c>
      <c r="H13">
        <v>2244429</v>
      </c>
      <c r="I13">
        <v>2241430</v>
      </c>
      <c r="K13">
        <v>25107396</v>
      </c>
      <c r="L13">
        <v>25097397</v>
      </c>
      <c r="N13">
        <v>99155676</v>
      </c>
      <c r="O13">
        <v>99135677</v>
      </c>
      <c r="Q13">
        <v>623442841</v>
      </c>
      <c r="R13">
        <v>623392842</v>
      </c>
    </row>
    <row r="14" spans="1:39" x14ac:dyDescent="0.25">
      <c r="B14">
        <v>252197</v>
      </c>
      <c r="C14">
        <v>251198</v>
      </c>
      <c r="E14">
        <v>1011624</v>
      </c>
      <c r="F14">
        <v>1009625</v>
      </c>
      <c r="H14">
        <v>2240762</v>
      </c>
      <c r="I14">
        <v>2237763</v>
      </c>
      <c r="K14">
        <v>25178383</v>
      </c>
      <c r="L14">
        <v>25168384</v>
      </c>
      <c r="N14">
        <v>99472187</v>
      </c>
      <c r="O14">
        <v>99452188</v>
      </c>
      <c r="Q14">
        <v>624385958</v>
      </c>
      <c r="R14">
        <v>624335959</v>
      </c>
    </row>
    <row r="15" spans="1:39" x14ac:dyDescent="0.25">
      <c r="B15">
        <v>253223</v>
      </c>
      <c r="C15">
        <v>252224</v>
      </c>
      <c r="E15">
        <v>997567</v>
      </c>
      <c r="F15">
        <v>995568</v>
      </c>
      <c r="H15">
        <v>2225318</v>
      </c>
      <c r="I15">
        <v>2222319</v>
      </c>
      <c r="K15">
        <v>24897323</v>
      </c>
      <c r="L15">
        <v>24887324</v>
      </c>
      <c r="N15">
        <v>99208141</v>
      </c>
      <c r="O15">
        <v>99188142</v>
      </c>
      <c r="Q15">
        <v>625969224</v>
      </c>
      <c r="R15">
        <v>625919225</v>
      </c>
    </row>
    <row r="16" spans="1:39" x14ac:dyDescent="0.25">
      <c r="B16">
        <v>242391</v>
      </c>
      <c r="C16">
        <v>241392</v>
      </c>
      <c r="E16">
        <v>999470</v>
      </c>
      <c r="F16">
        <v>997471</v>
      </c>
      <c r="H16">
        <v>2243674</v>
      </c>
      <c r="I16">
        <v>2240675</v>
      </c>
      <c r="K16">
        <v>24887853</v>
      </c>
      <c r="L16">
        <v>24877854</v>
      </c>
      <c r="N16">
        <v>100811731</v>
      </c>
      <c r="O16">
        <v>100791732</v>
      </c>
      <c r="Q16">
        <v>622833337</v>
      </c>
      <c r="R16">
        <v>622783338</v>
      </c>
    </row>
    <row r="17" spans="2:18" x14ac:dyDescent="0.25">
      <c r="B17">
        <v>252741</v>
      </c>
      <c r="C17">
        <v>251742</v>
      </c>
      <c r="E17">
        <v>979456</v>
      </c>
      <c r="F17">
        <v>977457</v>
      </c>
      <c r="H17">
        <v>2245831</v>
      </c>
      <c r="I17">
        <v>2242832</v>
      </c>
      <c r="K17">
        <v>24839000</v>
      </c>
      <c r="L17">
        <v>24829001</v>
      </c>
      <c r="N17">
        <v>100663805</v>
      </c>
      <c r="O17">
        <v>100643806</v>
      </c>
      <c r="Q17">
        <v>626239857</v>
      </c>
      <c r="R17">
        <v>626189858</v>
      </c>
    </row>
    <row r="18" spans="2:18" x14ac:dyDescent="0.25">
      <c r="B18">
        <v>255567</v>
      </c>
      <c r="C18">
        <v>254568</v>
      </c>
      <c r="E18">
        <v>1018281</v>
      </c>
      <c r="F18">
        <v>1016282</v>
      </c>
      <c r="H18">
        <v>2255616</v>
      </c>
      <c r="I18">
        <v>2252617</v>
      </c>
      <c r="K18">
        <v>24881534</v>
      </c>
      <c r="L18">
        <v>24871535</v>
      </c>
      <c r="N18">
        <v>99843727</v>
      </c>
      <c r="O18">
        <v>99823728</v>
      </c>
      <c r="Q18">
        <v>629083594</v>
      </c>
      <c r="R18">
        <v>629033595</v>
      </c>
    </row>
    <row r="19" spans="2:18" x14ac:dyDescent="0.25">
      <c r="B19">
        <v>246222</v>
      </c>
      <c r="C19">
        <v>245223</v>
      </c>
      <c r="E19">
        <v>1021255</v>
      </c>
      <c r="F19">
        <v>1019256</v>
      </c>
      <c r="H19">
        <v>2250877</v>
      </c>
      <c r="I19">
        <v>2247878</v>
      </c>
      <c r="K19">
        <v>24965394</v>
      </c>
      <c r="L19">
        <v>24955395</v>
      </c>
      <c r="N19">
        <v>100629731</v>
      </c>
      <c r="O19">
        <v>100609732</v>
      </c>
      <c r="Q19">
        <v>623076678</v>
      </c>
      <c r="R19">
        <v>623026679</v>
      </c>
    </row>
    <row r="20" spans="2:18" x14ac:dyDescent="0.25">
      <c r="B20">
        <v>248037</v>
      </c>
      <c r="C20">
        <v>247038</v>
      </c>
      <c r="E20">
        <v>1031530</v>
      </c>
      <c r="F20">
        <v>1029531</v>
      </c>
      <c r="H20">
        <v>2243140</v>
      </c>
      <c r="I20">
        <v>2240141</v>
      </c>
      <c r="K20">
        <v>25033777</v>
      </c>
      <c r="L20">
        <v>25023778</v>
      </c>
      <c r="N20">
        <v>100574076</v>
      </c>
      <c r="O20">
        <v>100554077</v>
      </c>
      <c r="Q20">
        <v>625426903</v>
      </c>
      <c r="R20">
        <v>625376904</v>
      </c>
    </row>
    <row r="21" spans="2:18" x14ac:dyDescent="0.25">
      <c r="B21">
        <v>253828</v>
      </c>
      <c r="C21">
        <v>252829</v>
      </c>
      <c r="E21">
        <v>991587</v>
      </c>
      <c r="F21">
        <v>989588</v>
      </c>
      <c r="H21">
        <v>2252213</v>
      </c>
      <c r="I21">
        <v>2249214</v>
      </c>
      <c r="K21">
        <v>25200115</v>
      </c>
      <c r="L21">
        <v>25190116</v>
      </c>
      <c r="N21">
        <v>99551207</v>
      </c>
      <c r="O21">
        <v>99531208</v>
      </c>
      <c r="Q21">
        <v>624126014</v>
      </c>
      <c r="R21">
        <v>624076015</v>
      </c>
    </row>
    <row r="22" spans="2:18" x14ac:dyDescent="0.25">
      <c r="B22">
        <v>260152</v>
      </c>
      <c r="C22">
        <v>259153</v>
      </c>
      <c r="E22">
        <v>968120</v>
      </c>
      <c r="F22">
        <v>966121</v>
      </c>
      <c r="H22">
        <v>2241837</v>
      </c>
      <c r="I22">
        <v>2238838</v>
      </c>
      <c r="K22">
        <v>25030104</v>
      </c>
      <c r="L22">
        <v>25020105</v>
      </c>
      <c r="N22">
        <v>99902651</v>
      </c>
      <c r="O22">
        <v>99882652</v>
      </c>
      <c r="Q22">
        <v>624517772</v>
      </c>
      <c r="R22">
        <v>624467773</v>
      </c>
    </row>
    <row r="23" spans="2:18" x14ac:dyDescent="0.25">
      <c r="B23">
        <v>249244</v>
      </c>
      <c r="C23">
        <v>248245</v>
      </c>
      <c r="E23">
        <v>1018614</v>
      </c>
      <c r="F23">
        <v>1016615</v>
      </c>
      <c r="H23">
        <v>2222104</v>
      </c>
      <c r="I23">
        <v>2219105</v>
      </c>
      <c r="K23">
        <v>25120163</v>
      </c>
      <c r="L23">
        <v>25110164</v>
      </c>
      <c r="N23">
        <v>99538232</v>
      </c>
      <c r="O23">
        <v>99518233</v>
      </c>
      <c r="Q23">
        <v>622759538</v>
      </c>
      <c r="R23">
        <v>622709539</v>
      </c>
    </row>
    <row r="24" spans="2:18" x14ac:dyDescent="0.25">
      <c r="B24">
        <v>246142</v>
      </c>
      <c r="C24">
        <v>245143</v>
      </c>
      <c r="E24">
        <v>981773</v>
      </c>
      <c r="F24">
        <v>979774</v>
      </c>
      <c r="H24">
        <v>2235683</v>
      </c>
      <c r="I24">
        <v>2232684</v>
      </c>
      <c r="K24">
        <v>24911056</v>
      </c>
      <c r="L24">
        <v>24901057</v>
      </c>
      <c r="N24">
        <v>99793712</v>
      </c>
      <c r="O24">
        <v>99773713</v>
      </c>
      <c r="Q24">
        <v>622687590</v>
      </c>
      <c r="R24">
        <v>622637591</v>
      </c>
    </row>
    <row r="25" spans="2:18" x14ac:dyDescent="0.25">
      <c r="B25">
        <v>253462</v>
      </c>
      <c r="C25">
        <v>252463</v>
      </c>
      <c r="E25">
        <v>1011500</v>
      </c>
      <c r="F25">
        <v>1009501</v>
      </c>
      <c r="H25">
        <v>2250713</v>
      </c>
      <c r="I25">
        <v>2247714</v>
      </c>
      <c r="K25">
        <v>24992427</v>
      </c>
      <c r="L25">
        <v>24982428</v>
      </c>
      <c r="N25">
        <v>99662417</v>
      </c>
      <c r="O25">
        <v>99642418</v>
      </c>
      <c r="Q25">
        <v>626668804</v>
      </c>
      <c r="R25">
        <v>626618805</v>
      </c>
    </row>
    <row r="26" spans="2:18" x14ac:dyDescent="0.25">
      <c r="B26">
        <v>249814</v>
      </c>
      <c r="C26">
        <v>248815</v>
      </c>
      <c r="E26">
        <v>1010704</v>
      </c>
      <c r="F26">
        <v>1008705</v>
      </c>
      <c r="H26">
        <v>2238020</v>
      </c>
      <c r="I26">
        <v>2235021</v>
      </c>
      <c r="K26">
        <v>24946110</v>
      </c>
      <c r="L26">
        <v>24936111</v>
      </c>
      <c r="N26">
        <v>99526890</v>
      </c>
      <c r="O26">
        <v>99506891</v>
      </c>
      <c r="Q26">
        <v>626064274</v>
      </c>
      <c r="R26">
        <v>626014275</v>
      </c>
    </row>
    <row r="27" spans="2:18" x14ac:dyDescent="0.25">
      <c r="B27">
        <v>256794</v>
      </c>
      <c r="C27">
        <v>255795</v>
      </c>
      <c r="E27">
        <v>995598</v>
      </c>
      <c r="F27">
        <v>993599</v>
      </c>
      <c r="H27">
        <v>2264607</v>
      </c>
      <c r="I27">
        <v>2261608</v>
      </c>
      <c r="K27">
        <v>24737493</v>
      </c>
      <c r="L27">
        <v>24727494</v>
      </c>
      <c r="N27">
        <v>100068963</v>
      </c>
      <c r="O27">
        <v>100048964</v>
      </c>
      <c r="Q27">
        <v>624244182</v>
      </c>
      <c r="R27">
        <v>624194183</v>
      </c>
    </row>
    <row r="28" spans="2:18" x14ac:dyDescent="0.25">
      <c r="B28">
        <v>244274</v>
      </c>
      <c r="C28">
        <v>243275</v>
      </c>
      <c r="E28">
        <v>993080</v>
      </c>
      <c r="F28">
        <v>991081</v>
      </c>
      <c r="H28">
        <v>2247511</v>
      </c>
      <c r="I28">
        <v>2244512</v>
      </c>
      <c r="K28">
        <v>24724450</v>
      </c>
      <c r="L28">
        <v>24714451</v>
      </c>
      <c r="N28">
        <v>100129453</v>
      </c>
      <c r="O28">
        <v>100109454</v>
      </c>
      <c r="Q28">
        <v>628209403</v>
      </c>
      <c r="R28">
        <v>628159404</v>
      </c>
    </row>
    <row r="29" spans="2:18" x14ac:dyDescent="0.25">
      <c r="B29">
        <v>247315</v>
      </c>
      <c r="C29">
        <v>246316</v>
      </c>
      <c r="E29">
        <v>991922</v>
      </c>
      <c r="F29">
        <v>989923</v>
      </c>
      <c r="H29">
        <v>2279675</v>
      </c>
      <c r="I29">
        <v>2276676</v>
      </c>
      <c r="K29">
        <v>25159653</v>
      </c>
      <c r="L29">
        <v>25149654</v>
      </c>
      <c r="N29">
        <v>99449338</v>
      </c>
      <c r="O29">
        <v>99429339</v>
      </c>
      <c r="Q29">
        <v>625401162</v>
      </c>
      <c r="R29">
        <v>625351163</v>
      </c>
    </row>
    <row r="30" spans="2:18" x14ac:dyDescent="0.25">
      <c r="B30">
        <v>251662</v>
      </c>
      <c r="C30">
        <v>250663</v>
      </c>
      <c r="E30">
        <v>988800</v>
      </c>
      <c r="F30">
        <v>986801</v>
      </c>
      <c r="H30">
        <v>2244278</v>
      </c>
      <c r="I30">
        <v>2241279</v>
      </c>
      <c r="K30">
        <v>24710859</v>
      </c>
      <c r="L30">
        <v>24700860</v>
      </c>
      <c r="N30">
        <v>99704224</v>
      </c>
      <c r="O30">
        <v>99684225</v>
      </c>
      <c r="Q30">
        <v>621997122</v>
      </c>
      <c r="R30">
        <v>621947123</v>
      </c>
    </row>
    <row r="31" spans="2:18" x14ac:dyDescent="0.25">
      <c r="B31">
        <v>255801</v>
      </c>
      <c r="C31">
        <v>254802</v>
      </c>
      <c r="E31">
        <v>1001729</v>
      </c>
      <c r="F31">
        <v>999730</v>
      </c>
      <c r="H31">
        <v>2236558</v>
      </c>
      <c r="I31">
        <v>2233559</v>
      </c>
      <c r="K31">
        <v>24970809</v>
      </c>
      <c r="L31">
        <v>24960810</v>
      </c>
      <c r="N31">
        <v>99096667</v>
      </c>
      <c r="O31">
        <v>99076668</v>
      </c>
      <c r="Q31">
        <v>620905203</v>
      </c>
      <c r="R31">
        <v>620855204</v>
      </c>
    </row>
    <row r="32" spans="2:18" x14ac:dyDescent="0.25">
      <c r="B32">
        <v>249562</v>
      </c>
      <c r="C32">
        <v>248563</v>
      </c>
      <c r="E32">
        <v>1034141</v>
      </c>
      <c r="F32">
        <v>1032142</v>
      </c>
      <c r="H32">
        <v>2209659</v>
      </c>
      <c r="I32">
        <v>2206660</v>
      </c>
      <c r="K32">
        <v>25019125</v>
      </c>
      <c r="L32">
        <v>25009126</v>
      </c>
      <c r="N32">
        <v>99305948</v>
      </c>
      <c r="O32">
        <v>99285949</v>
      </c>
      <c r="Q32">
        <v>626183107</v>
      </c>
      <c r="R32">
        <v>626133108</v>
      </c>
    </row>
    <row r="33" spans="2:18" x14ac:dyDescent="0.25">
      <c r="B33">
        <v>247234</v>
      </c>
      <c r="C33">
        <v>246235</v>
      </c>
      <c r="E33">
        <v>996516</v>
      </c>
      <c r="F33">
        <v>994517</v>
      </c>
      <c r="H33">
        <v>2263491</v>
      </c>
      <c r="I33">
        <v>2260492</v>
      </c>
      <c r="K33">
        <v>25112426</v>
      </c>
      <c r="L33">
        <v>25102427</v>
      </c>
      <c r="N33">
        <v>100130685</v>
      </c>
      <c r="O33">
        <v>100110686</v>
      </c>
      <c r="Q33">
        <v>622373462</v>
      </c>
      <c r="R33">
        <v>622323463</v>
      </c>
    </row>
    <row r="34" spans="2:18" x14ac:dyDescent="0.25">
      <c r="B34">
        <v>264726</v>
      </c>
      <c r="C34">
        <v>263727</v>
      </c>
      <c r="E34">
        <v>998069</v>
      </c>
      <c r="F34">
        <v>996070</v>
      </c>
      <c r="H34">
        <v>2265598</v>
      </c>
      <c r="I34">
        <v>2262599</v>
      </c>
      <c r="K34">
        <v>24952532</v>
      </c>
      <c r="L34">
        <v>24942533</v>
      </c>
      <c r="N34">
        <v>99445978</v>
      </c>
      <c r="O34">
        <v>99425979</v>
      </c>
      <c r="Q34">
        <v>622142287</v>
      </c>
      <c r="R34">
        <v>622092288</v>
      </c>
    </row>
    <row r="35" spans="2:18" x14ac:dyDescent="0.25">
      <c r="B35">
        <v>249871</v>
      </c>
      <c r="C35">
        <v>248872</v>
      </c>
      <c r="E35">
        <v>1021136</v>
      </c>
      <c r="F35">
        <v>1019137</v>
      </c>
      <c r="H35">
        <v>2256920</v>
      </c>
      <c r="I35">
        <v>2253921</v>
      </c>
      <c r="K35">
        <v>24883508</v>
      </c>
      <c r="L35">
        <v>24873509</v>
      </c>
      <c r="N35">
        <v>100074722</v>
      </c>
      <c r="O35">
        <v>100054723</v>
      </c>
      <c r="Q35">
        <v>622353760</v>
      </c>
      <c r="R35">
        <v>622303761</v>
      </c>
    </row>
    <row r="36" spans="2:18" x14ac:dyDescent="0.25">
      <c r="B36">
        <v>251666</v>
      </c>
      <c r="C36">
        <v>250667</v>
      </c>
      <c r="E36">
        <v>1022814</v>
      </c>
      <c r="F36">
        <v>1020815</v>
      </c>
      <c r="H36">
        <v>2263943</v>
      </c>
      <c r="I36">
        <v>2260944</v>
      </c>
      <c r="K36">
        <v>25097705</v>
      </c>
      <c r="L36">
        <v>25087706</v>
      </c>
      <c r="N36">
        <v>99991971</v>
      </c>
      <c r="O36">
        <v>99971972</v>
      </c>
      <c r="Q36">
        <v>625452024</v>
      </c>
      <c r="R36">
        <v>625402025</v>
      </c>
    </row>
    <row r="37" spans="2:18" x14ac:dyDescent="0.25">
      <c r="B37">
        <v>244012</v>
      </c>
      <c r="C37">
        <v>243013</v>
      </c>
      <c r="E37">
        <v>1005378</v>
      </c>
      <c r="F37">
        <v>1003379</v>
      </c>
      <c r="H37">
        <v>2246640</v>
      </c>
      <c r="I37">
        <v>2243641</v>
      </c>
      <c r="K37">
        <v>25108958</v>
      </c>
      <c r="L37">
        <v>25098959</v>
      </c>
      <c r="N37">
        <v>99742761</v>
      </c>
      <c r="O37">
        <v>99722762</v>
      </c>
      <c r="Q37">
        <v>626061830</v>
      </c>
      <c r="R37">
        <v>626011831</v>
      </c>
    </row>
    <row r="38" spans="2:18" x14ac:dyDescent="0.25">
      <c r="B38">
        <v>253731</v>
      </c>
      <c r="C38">
        <v>252732</v>
      </c>
      <c r="E38">
        <v>1015950</v>
      </c>
      <c r="F38">
        <v>1013951</v>
      </c>
      <c r="H38">
        <v>2244995</v>
      </c>
      <c r="I38">
        <v>2241996</v>
      </c>
      <c r="K38">
        <v>24617800</v>
      </c>
      <c r="L38">
        <v>24607801</v>
      </c>
      <c r="N38">
        <v>99976869</v>
      </c>
      <c r="O38">
        <v>99956870</v>
      </c>
      <c r="Q38">
        <v>623485280</v>
      </c>
      <c r="R38">
        <v>623435281</v>
      </c>
    </row>
    <row r="39" spans="2:18" x14ac:dyDescent="0.25">
      <c r="B39">
        <v>256002</v>
      </c>
      <c r="C39">
        <v>255003</v>
      </c>
      <c r="E39">
        <v>992107</v>
      </c>
      <c r="F39">
        <v>990108</v>
      </c>
      <c r="H39">
        <v>2290935</v>
      </c>
      <c r="I39">
        <v>2287936</v>
      </c>
      <c r="K39">
        <v>25044035</v>
      </c>
      <c r="L39">
        <v>25034036</v>
      </c>
      <c r="N39">
        <v>99924386</v>
      </c>
      <c r="O39">
        <v>99904387</v>
      </c>
      <c r="Q39">
        <v>625002304</v>
      </c>
      <c r="R39">
        <v>624952305</v>
      </c>
    </row>
    <row r="40" spans="2:18" x14ac:dyDescent="0.25">
      <c r="B40">
        <v>252160</v>
      </c>
      <c r="C40">
        <v>251161</v>
      </c>
      <c r="E40">
        <v>986912</v>
      </c>
      <c r="F40">
        <v>984913</v>
      </c>
      <c r="H40">
        <v>2266173</v>
      </c>
      <c r="I40">
        <v>2263174</v>
      </c>
      <c r="K40">
        <v>25073826</v>
      </c>
      <c r="L40">
        <v>25063827</v>
      </c>
      <c r="N40">
        <v>99424743</v>
      </c>
      <c r="O40">
        <v>99404744</v>
      </c>
      <c r="Q40">
        <v>625331509</v>
      </c>
      <c r="R40">
        <v>625281510</v>
      </c>
    </row>
    <row r="41" spans="2:18" x14ac:dyDescent="0.25">
      <c r="B41">
        <v>252607</v>
      </c>
      <c r="C41">
        <v>251608</v>
      </c>
      <c r="E41">
        <v>1012278</v>
      </c>
      <c r="F41">
        <v>1010279</v>
      </c>
      <c r="H41">
        <v>2268524</v>
      </c>
      <c r="I41">
        <v>2265525</v>
      </c>
      <c r="K41">
        <v>24575663</v>
      </c>
      <c r="L41">
        <v>24565664</v>
      </c>
      <c r="N41">
        <v>99355780</v>
      </c>
      <c r="O41">
        <v>99335781</v>
      </c>
      <c r="Q41">
        <v>622579018</v>
      </c>
      <c r="R41">
        <v>622529019</v>
      </c>
    </row>
    <row r="42" spans="2:18" x14ac:dyDescent="0.25">
      <c r="B42">
        <v>244963</v>
      </c>
      <c r="C42">
        <v>243964</v>
      </c>
      <c r="E42">
        <v>993601</v>
      </c>
      <c r="F42">
        <v>991602</v>
      </c>
      <c r="H42">
        <v>2245490</v>
      </c>
      <c r="I42">
        <v>2242491</v>
      </c>
      <c r="K42">
        <v>25034403</v>
      </c>
      <c r="L42">
        <v>25024404</v>
      </c>
      <c r="N42">
        <v>99534299</v>
      </c>
      <c r="O42">
        <v>99514300</v>
      </c>
      <c r="Q42">
        <v>619187882</v>
      </c>
      <c r="R42">
        <v>619137883</v>
      </c>
    </row>
    <row r="43" spans="2:18" x14ac:dyDescent="0.25">
      <c r="B43">
        <v>252947</v>
      </c>
      <c r="C43">
        <v>251948</v>
      </c>
      <c r="E43">
        <v>1001651</v>
      </c>
      <c r="F43">
        <v>999652</v>
      </c>
      <c r="H43">
        <v>2226974</v>
      </c>
      <c r="I43">
        <v>2223975</v>
      </c>
      <c r="K43">
        <v>25122581</v>
      </c>
      <c r="L43">
        <v>25112582</v>
      </c>
      <c r="N43">
        <v>99356811</v>
      </c>
      <c r="O43">
        <v>99336812</v>
      </c>
      <c r="Q43">
        <v>626616546</v>
      </c>
      <c r="R43">
        <v>626566547</v>
      </c>
    </row>
    <row r="44" spans="2:18" x14ac:dyDescent="0.25">
      <c r="B44">
        <v>255827</v>
      </c>
      <c r="C44">
        <v>254828</v>
      </c>
      <c r="E44">
        <v>1013645</v>
      </c>
      <c r="F44">
        <v>1011646</v>
      </c>
      <c r="H44">
        <v>2233181</v>
      </c>
      <c r="I44">
        <v>2230182</v>
      </c>
      <c r="K44">
        <v>24938077</v>
      </c>
      <c r="L44">
        <v>24928078</v>
      </c>
      <c r="N44">
        <v>99554091</v>
      </c>
      <c r="O44">
        <v>99534092</v>
      </c>
      <c r="Q44">
        <v>624728485</v>
      </c>
      <c r="R44">
        <v>624678486</v>
      </c>
    </row>
    <row r="45" spans="2:18" x14ac:dyDescent="0.25">
      <c r="B45">
        <v>249223</v>
      </c>
      <c r="C45">
        <v>248224</v>
      </c>
      <c r="E45">
        <v>1000286</v>
      </c>
      <c r="F45">
        <v>998287</v>
      </c>
      <c r="H45">
        <v>2295204</v>
      </c>
      <c r="I45">
        <v>2292205</v>
      </c>
      <c r="K45">
        <v>25023983</v>
      </c>
      <c r="L45">
        <v>25013984</v>
      </c>
      <c r="N45">
        <v>99747066</v>
      </c>
      <c r="O45">
        <v>99727067</v>
      </c>
      <c r="Q45">
        <v>624775780</v>
      </c>
      <c r="R45">
        <v>624725781</v>
      </c>
    </row>
    <row r="46" spans="2:18" x14ac:dyDescent="0.25">
      <c r="B46">
        <v>253330</v>
      </c>
      <c r="C46">
        <v>252331</v>
      </c>
      <c r="E46">
        <v>1012111</v>
      </c>
      <c r="F46">
        <v>1010112</v>
      </c>
      <c r="H46">
        <v>2246775</v>
      </c>
      <c r="I46">
        <v>2243776</v>
      </c>
      <c r="K46">
        <v>24799673</v>
      </c>
      <c r="L46">
        <v>24789674</v>
      </c>
      <c r="N46">
        <v>99728507</v>
      </c>
      <c r="O46">
        <v>99708508</v>
      </c>
      <c r="Q46">
        <v>624449944</v>
      </c>
      <c r="R46">
        <v>624399945</v>
      </c>
    </row>
    <row r="47" spans="2:18" x14ac:dyDescent="0.25">
      <c r="B47">
        <v>253118</v>
      </c>
      <c r="C47">
        <v>252119</v>
      </c>
      <c r="E47">
        <v>988422</v>
      </c>
      <c r="F47">
        <v>986423</v>
      </c>
      <c r="H47">
        <v>2246364</v>
      </c>
      <c r="I47">
        <v>2243365</v>
      </c>
      <c r="K47">
        <v>25127168</v>
      </c>
      <c r="L47">
        <v>25117169</v>
      </c>
      <c r="N47">
        <v>100070185</v>
      </c>
      <c r="O47">
        <v>100050186</v>
      </c>
      <c r="Q47">
        <v>621669142</v>
      </c>
      <c r="R47">
        <v>621619143</v>
      </c>
    </row>
    <row r="48" spans="2:18" x14ac:dyDescent="0.25">
      <c r="B48">
        <v>250493</v>
      </c>
      <c r="C48">
        <v>249494</v>
      </c>
      <c r="E48">
        <v>1024224</v>
      </c>
      <c r="F48">
        <v>1022225</v>
      </c>
      <c r="H48">
        <v>2213134</v>
      </c>
      <c r="I48">
        <v>2210135</v>
      </c>
      <c r="K48">
        <v>25042614</v>
      </c>
      <c r="L48">
        <v>25032615</v>
      </c>
      <c r="N48">
        <v>100012793</v>
      </c>
      <c r="O48">
        <v>99992794</v>
      </c>
      <c r="Q48">
        <v>626048238</v>
      </c>
      <c r="R48">
        <v>625998239</v>
      </c>
    </row>
    <row r="49" spans="2:18" x14ac:dyDescent="0.25">
      <c r="B49">
        <v>254183</v>
      </c>
      <c r="C49">
        <v>253184</v>
      </c>
      <c r="E49">
        <v>994174</v>
      </c>
      <c r="F49">
        <v>992175</v>
      </c>
      <c r="H49">
        <v>2277252</v>
      </c>
      <c r="I49">
        <v>2274253</v>
      </c>
      <c r="K49">
        <v>24899664</v>
      </c>
      <c r="L49">
        <v>24889665</v>
      </c>
      <c r="N49">
        <v>101247979</v>
      </c>
      <c r="O49">
        <v>101227980</v>
      </c>
      <c r="Q49">
        <v>623170818</v>
      </c>
      <c r="R49">
        <v>623120819</v>
      </c>
    </row>
    <row r="50" spans="2:18" x14ac:dyDescent="0.25">
      <c r="B50">
        <v>260070</v>
      </c>
      <c r="C50">
        <v>259071</v>
      </c>
      <c r="E50">
        <v>1017256</v>
      </c>
      <c r="F50">
        <v>1015257</v>
      </c>
      <c r="H50">
        <v>2255158</v>
      </c>
      <c r="I50">
        <v>2252159</v>
      </c>
      <c r="K50">
        <v>25148125</v>
      </c>
      <c r="L50">
        <v>25138126</v>
      </c>
      <c r="N50">
        <v>99966622</v>
      </c>
      <c r="O50">
        <v>99946623</v>
      </c>
      <c r="Q50">
        <v>628179598</v>
      </c>
      <c r="R50">
        <v>628129599</v>
      </c>
    </row>
    <row r="51" spans="2:18" x14ac:dyDescent="0.25">
      <c r="B51">
        <v>248494</v>
      </c>
      <c r="C51">
        <v>247495</v>
      </c>
      <c r="E51">
        <v>988458</v>
      </c>
      <c r="F51">
        <v>986459</v>
      </c>
      <c r="H51">
        <v>2263862</v>
      </c>
      <c r="I51">
        <v>2260863</v>
      </c>
      <c r="K51">
        <v>25041196</v>
      </c>
      <c r="L51">
        <v>25031197</v>
      </c>
      <c r="N51">
        <v>100448678</v>
      </c>
      <c r="O51">
        <v>100428679</v>
      </c>
      <c r="Q51">
        <v>622774657</v>
      </c>
      <c r="R51">
        <v>622724658</v>
      </c>
    </row>
    <row r="52" spans="2:18" x14ac:dyDescent="0.25">
      <c r="B52">
        <v>247677</v>
      </c>
      <c r="C52">
        <v>246678</v>
      </c>
      <c r="E52">
        <v>1005645</v>
      </c>
      <c r="F52">
        <v>1003646</v>
      </c>
      <c r="H52">
        <v>2278730</v>
      </c>
      <c r="I52">
        <v>2275731</v>
      </c>
      <c r="K52">
        <v>24935355</v>
      </c>
      <c r="L52">
        <v>24925356</v>
      </c>
      <c r="N52">
        <v>99947764</v>
      </c>
      <c r="O52">
        <v>99927765</v>
      </c>
      <c r="Q52">
        <v>624067565</v>
      </c>
      <c r="R52">
        <v>624017566</v>
      </c>
    </row>
    <row r="53" spans="2:18" x14ac:dyDescent="0.25">
      <c r="B53">
        <v>259590</v>
      </c>
      <c r="C53">
        <v>258591</v>
      </c>
      <c r="E53">
        <v>1030823</v>
      </c>
      <c r="F53">
        <v>1028824</v>
      </c>
      <c r="H53">
        <v>2264228</v>
      </c>
      <c r="I53">
        <v>2261229</v>
      </c>
      <c r="K53">
        <v>24987882</v>
      </c>
      <c r="L53">
        <v>24977883</v>
      </c>
      <c r="N53">
        <v>99975521</v>
      </c>
      <c r="O53">
        <v>99955522</v>
      </c>
      <c r="Q53">
        <v>626074378</v>
      </c>
      <c r="R53">
        <v>626024379</v>
      </c>
    </row>
    <row r="54" spans="2:18" x14ac:dyDescent="0.25">
      <c r="B54">
        <v>255666</v>
      </c>
      <c r="C54">
        <v>254667</v>
      </c>
      <c r="E54">
        <v>1027750</v>
      </c>
      <c r="F54">
        <v>1025751</v>
      </c>
      <c r="H54">
        <v>2248321</v>
      </c>
      <c r="I54">
        <v>2245322</v>
      </c>
      <c r="K54">
        <v>25032095</v>
      </c>
      <c r="L54">
        <v>25022096</v>
      </c>
      <c r="N54">
        <v>100141543</v>
      </c>
      <c r="O54">
        <v>100121544</v>
      </c>
      <c r="Q54">
        <v>622664403</v>
      </c>
      <c r="R54">
        <v>622614404</v>
      </c>
    </row>
    <row r="55" spans="2:18" x14ac:dyDescent="0.25">
      <c r="B55">
        <v>253194</v>
      </c>
      <c r="C55">
        <v>252195</v>
      </c>
      <c r="E55">
        <v>1018481</v>
      </c>
      <c r="F55">
        <v>1016482</v>
      </c>
      <c r="H55">
        <v>2239143</v>
      </c>
      <c r="I55">
        <v>2236144</v>
      </c>
      <c r="K55">
        <v>24910534</v>
      </c>
      <c r="L55">
        <v>24900535</v>
      </c>
      <c r="N55">
        <v>100192070</v>
      </c>
      <c r="O55">
        <v>100172071</v>
      </c>
      <c r="Q55">
        <v>622496380</v>
      </c>
      <c r="R55">
        <v>622446381</v>
      </c>
    </row>
    <row r="56" spans="2:18" x14ac:dyDescent="0.25">
      <c r="B56">
        <v>245691</v>
      </c>
      <c r="C56">
        <v>244692</v>
      </c>
      <c r="E56">
        <v>1006070</v>
      </c>
      <c r="F56">
        <v>1004071</v>
      </c>
      <c r="H56">
        <v>2278453</v>
      </c>
      <c r="I56">
        <v>2275454</v>
      </c>
      <c r="K56">
        <v>25194440</v>
      </c>
      <c r="L56">
        <v>25184441</v>
      </c>
      <c r="N56">
        <v>99596659</v>
      </c>
      <c r="O56">
        <v>99576660</v>
      </c>
      <c r="Q56">
        <v>624458569</v>
      </c>
      <c r="R56">
        <v>624408570</v>
      </c>
    </row>
    <row r="57" spans="2:18" x14ac:dyDescent="0.25">
      <c r="B57">
        <v>248585</v>
      </c>
      <c r="C57">
        <v>247586</v>
      </c>
      <c r="E57">
        <v>1006290</v>
      </c>
      <c r="F57">
        <v>1004291</v>
      </c>
      <c r="H57">
        <v>2261626</v>
      </c>
      <c r="I57">
        <v>2258627</v>
      </c>
      <c r="K57">
        <v>25139454</v>
      </c>
      <c r="L57">
        <v>25129455</v>
      </c>
      <c r="N57">
        <v>99930196</v>
      </c>
      <c r="O57">
        <v>99910197</v>
      </c>
      <c r="Q57">
        <v>625432024</v>
      </c>
      <c r="R57">
        <v>625382025</v>
      </c>
    </row>
    <row r="58" spans="2:18" x14ac:dyDescent="0.25">
      <c r="B58">
        <v>256575</v>
      </c>
      <c r="C58">
        <v>255576</v>
      </c>
      <c r="E58">
        <v>996938</v>
      </c>
      <c r="F58">
        <v>994939</v>
      </c>
      <c r="H58">
        <v>2196642</v>
      </c>
      <c r="I58">
        <v>2193643</v>
      </c>
      <c r="K58">
        <v>25063591</v>
      </c>
      <c r="L58">
        <v>25053592</v>
      </c>
      <c r="N58">
        <v>100451753</v>
      </c>
      <c r="O58">
        <v>100431754</v>
      </c>
      <c r="Q58">
        <v>622620923</v>
      </c>
      <c r="R58">
        <v>622570924</v>
      </c>
    </row>
    <row r="59" spans="2:18" x14ac:dyDescent="0.25">
      <c r="B59">
        <v>253992</v>
      </c>
      <c r="C59">
        <v>252993</v>
      </c>
      <c r="E59">
        <v>969746</v>
      </c>
      <c r="F59">
        <v>967747</v>
      </c>
      <c r="H59">
        <v>2217520</v>
      </c>
      <c r="I59">
        <v>2214521</v>
      </c>
      <c r="K59">
        <v>24937241</v>
      </c>
      <c r="L59">
        <v>24927242</v>
      </c>
      <c r="N59">
        <v>100380831</v>
      </c>
      <c r="O59">
        <v>100360832</v>
      </c>
      <c r="Q59">
        <v>625442088</v>
      </c>
      <c r="R59">
        <v>625392089</v>
      </c>
    </row>
    <row r="60" spans="2:18" x14ac:dyDescent="0.25">
      <c r="B60">
        <v>253340</v>
      </c>
      <c r="C60">
        <v>252341</v>
      </c>
      <c r="E60">
        <v>988662</v>
      </c>
      <c r="F60">
        <v>986663</v>
      </c>
      <c r="H60">
        <v>2278390</v>
      </c>
      <c r="I60">
        <v>2275391</v>
      </c>
      <c r="K60">
        <v>25016970</v>
      </c>
      <c r="L60">
        <v>25006971</v>
      </c>
      <c r="N60">
        <v>99985363</v>
      </c>
      <c r="O60">
        <v>99965364</v>
      </c>
      <c r="Q60">
        <v>619229292</v>
      </c>
      <c r="R60">
        <v>619179293</v>
      </c>
    </row>
    <row r="61" spans="2:18" x14ac:dyDescent="0.25">
      <c r="B61">
        <v>256941</v>
      </c>
      <c r="C61">
        <v>255942</v>
      </c>
      <c r="E61">
        <v>1003236</v>
      </c>
      <c r="F61">
        <v>1001237</v>
      </c>
      <c r="H61">
        <v>2216568</v>
      </c>
      <c r="I61">
        <v>2213569</v>
      </c>
      <c r="K61">
        <v>24998802</v>
      </c>
      <c r="L61">
        <v>24988803</v>
      </c>
      <c r="N61">
        <v>101354360</v>
      </c>
      <c r="O61">
        <v>101334361</v>
      </c>
      <c r="Q61">
        <v>622455682</v>
      </c>
      <c r="R61">
        <v>622405683</v>
      </c>
    </row>
    <row r="62" spans="2:18" x14ac:dyDescent="0.25">
      <c r="B62">
        <v>248808</v>
      </c>
      <c r="C62">
        <v>247809</v>
      </c>
      <c r="E62">
        <v>983400</v>
      </c>
      <c r="F62">
        <v>981401</v>
      </c>
      <c r="H62">
        <v>2251992</v>
      </c>
      <c r="I62">
        <v>2248993</v>
      </c>
      <c r="K62">
        <v>25005341</v>
      </c>
      <c r="L62">
        <v>24995342</v>
      </c>
      <c r="N62">
        <v>100150419</v>
      </c>
      <c r="O62">
        <v>100130420</v>
      </c>
      <c r="Q62">
        <v>623169332</v>
      </c>
      <c r="R62">
        <v>623119333</v>
      </c>
    </row>
    <row r="63" spans="2:18" x14ac:dyDescent="0.25">
      <c r="B63">
        <v>247532</v>
      </c>
      <c r="C63">
        <v>246533</v>
      </c>
      <c r="E63">
        <v>967487</v>
      </c>
      <c r="F63">
        <v>965488</v>
      </c>
      <c r="H63">
        <v>2220509</v>
      </c>
      <c r="I63">
        <v>2217510</v>
      </c>
      <c r="K63">
        <v>25305666</v>
      </c>
      <c r="L63">
        <v>25295667</v>
      </c>
      <c r="N63">
        <v>100522252</v>
      </c>
      <c r="O63">
        <v>100502253</v>
      </c>
      <c r="Q63">
        <v>625183677</v>
      </c>
      <c r="R63">
        <v>625133678</v>
      </c>
    </row>
    <row r="64" spans="2:18" x14ac:dyDescent="0.25">
      <c r="B64">
        <v>255786</v>
      </c>
      <c r="C64">
        <v>254787</v>
      </c>
      <c r="E64">
        <v>1000642</v>
      </c>
      <c r="F64">
        <v>998643</v>
      </c>
      <c r="H64">
        <v>2258342</v>
      </c>
      <c r="I64">
        <v>2255343</v>
      </c>
      <c r="K64">
        <v>24808066</v>
      </c>
      <c r="L64">
        <v>24798067</v>
      </c>
      <c r="N64">
        <v>100155435</v>
      </c>
      <c r="O64">
        <v>100135436</v>
      </c>
      <c r="Q64">
        <v>624919261</v>
      </c>
      <c r="R64">
        <v>624869262</v>
      </c>
    </row>
    <row r="65" spans="2:18" x14ac:dyDescent="0.25">
      <c r="B65">
        <v>236155</v>
      </c>
      <c r="C65">
        <v>235156</v>
      </c>
      <c r="E65">
        <v>994481</v>
      </c>
      <c r="F65">
        <v>992482</v>
      </c>
      <c r="H65">
        <v>2225382</v>
      </c>
      <c r="I65">
        <v>2222383</v>
      </c>
      <c r="K65">
        <v>25028814</v>
      </c>
      <c r="L65">
        <v>25018815</v>
      </c>
      <c r="N65">
        <v>99780330</v>
      </c>
      <c r="O65">
        <v>99760331</v>
      </c>
      <c r="Q65">
        <v>626319117</v>
      </c>
      <c r="R65">
        <v>626269118</v>
      </c>
    </row>
    <row r="66" spans="2:18" x14ac:dyDescent="0.25">
      <c r="B66">
        <v>252998</v>
      </c>
      <c r="C66">
        <v>251999</v>
      </c>
      <c r="E66">
        <v>1028009</v>
      </c>
      <c r="F66">
        <v>1026010</v>
      </c>
      <c r="H66">
        <v>2279735</v>
      </c>
      <c r="I66">
        <v>2276736</v>
      </c>
      <c r="K66">
        <v>24563051</v>
      </c>
      <c r="L66">
        <v>24553052</v>
      </c>
      <c r="N66">
        <v>99443452</v>
      </c>
      <c r="O66">
        <v>99423453</v>
      </c>
      <c r="Q66">
        <v>625632157</v>
      </c>
      <c r="R66">
        <v>625582158</v>
      </c>
    </row>
    <row r="67" spans="2:18" x14ac:dyDescent="0.25">
      <c r="B67">
        <v>259957</v>
      </c>
      <c r="C67">
        <v>258958</v>
      </c>
      <c r="E67">
        <v>1002320</v>
      </c>
      <c r="F67">
        <v>1000321</v>
      </c>
      <c r="H67">
        <v>2261797</v>
      </c>
      <c r="I67">
        <v>2258798</v>
      </c>
      <c r="K67">
        <v>25213996</v>
      </c>
      <c r="L67">
        <v>25203997</v>
      </c>
      <c r="N67">
        <v>100405029</v>
      </c>
      <c r="O67">
        <v>100385030</v>
      </c>
      <c r="Q67">
        <v>626497799</v>
      </c>
      <c r="R67">
        <v>626447800</v>
      </c>
    </row>
    <row r="68" spans="2:18" x14ac:dyDescent="0.25">
      <c r="B68">
        <v>250319</v>
      </c>
      <c r="C68">
        <v>249320</v>
      </c>
      <c r="E68">
        <v>975871</v>
      </c>
      <c r="F68">
        <v>973872</v>
      </c>
      <c r="H68">
        <v>2278689</v>
      </c>
      <c r="I68">
        <v>2275690</v>
      </c>
      <c r="K68">
        <v>24958949</v>
      </c>
      <c r="L68">
        <v>24948950</v>
      </c>
      <c r="N68">
        <v>100110010</v>
      </c>
      <c r="O68">
        <v>100090011</v>
      </c>
      <c r="Q68">
        <v>625140203</v>
      </c>
      <c r="R68">
        <v>625090204</v>
      </c>
    </row>
    <row r="69" spans="2:18" x14ac:dyDescent="0.25">
      <c r="B69">
        <v>257443</v>
      </c>
      <c r="C69">
        <v>256444</v>
      </c>
      <c r="E69">
        <v>1000592</v>
      </c>
      <c r="F69">
        <v>998593</v>
      </c>
      <c r="H69">
        <v>2290747</v>
      </c>
      <c r="I69">
        <v>2287748</v>
      </c>
      <c r="K69">
        <v>24757405</v>
      </c>
      <c r="L69">
        <v>24747406</v>
      </c>
      <c r="N69">
        <v>99490022</v>
      </c>
      <c r="O69">
        <v>99470023</v>
      </c>
      <c r="Q69">
        <v>622154511</v>
      </c>
      <c r="R69">
        <v>622104512</v>
      </c>
    </row>
    <row r="70" spans="2:18" x14ac:dyDescent="0.25">
      <c r="B70">
        <v>258839</v>
      </c>
      <c r="C70">
        <v>257840</v>
      </c>
      <c r="E70">
        <v>988154</v>
      </c>
      <c r="F70">
        <v>986155</v>
      </c>
      <c r="H70">
        <v>2258619</v>
      </c>
      <c r="I70">
        <v>2255620</v>
      </c>
      <c r="K70">
        <v>25406624</v>
      </c>
      <c r="L70">
        <v>25396625</v>
      </c>
      <c r="N70">
        <v>99408050</v>
      </c>
      <c r="O70">
        <v>99388051</v>
      </c>
      <c r="Q70">
        <v>624842413</v>
      </c>
      <c r="R70">
        <v>624792414</v>
      </c>
    </row>
    <row r="71" spans="2:18" x14ac:dyDescent="0.25">
      <c r="B71">
        <v>243893</v>
      </c>
      <c r="C71">
        <v>242894</v>
      </c>
      <c r="E71">
        <v>1021765</v>
      </c>
      <c r="F71">
        <v>1019766</v>
      </c>
      <c r="H71">
        <v>2240117</v>
      </c>
      <c r="I71">
        <v>2237118</v>
      </c>
      <c r="K71">
        <v>25145374</v>
      </c>
      <c r="L71">
        <v>25135375</v>
      </c>
      <c r="N71">
        <v>99539520</v>
      </c>
      <c r="O71">
        <v>99519521</v>
      </c>
      <c r="Q71">
        <v>623563112</v>
      </c>
      <c r="R71">
        <v>623513113</v>
      </c>
    </row>
    <row r="72" spans="2:18" x14ac:dyDescent="0.25">
      <c r="B72">
        <v>257159</v>
      </c>
      <c r="C72">
        <v>256160</v>
      </c>
      <c r="E72">
        <v>991391</v>
      </c>
      <c r="F72">
        <v>989392</v>
      </c>
      <c r="H72">
        <v>2254212</v>
      </c>
      <c r="I72">
        <v>2251213</v>
      </c>
      <c r="K72">
        <v>25024641</v>
      </c>
      <c r="L72">
        <v>25014642</v>
      </c>
      <c r="N72">
        <v>100075399</v>
      </c>
      <c r="O72">
        <v>100055400</v>
      </c>
      <c r="Q72">
        <v>626629067</v>
      </c>
      <c r="R72">
        <v>626579068</v>
      </c>
    </row>
    <row r="73" spans="2:18" x14ac:dyDescent="0.25">
      <c r="B73">
        <v>254823</v>
      </c>
      <c r="C73">
        <v>253824</v>
      </c>
      <c r="E73">
        <v>1011729</v>
      </c>
      <c r="F73">
        <v>1009730</v>
      </c>
      <c r="H73">
        <v>2276960</v>
      </c>
      <c r="I73">
        <v>2273961</v>
      </c>
      <c r="K73">
        <v>24944375</v>
      </c>
      <c r="L73">
        <v>24934376</v>
      </c>
      <c r="N73">
        <v>100525280</v>
      </c>
      <c r="O73">
        <v>100505281</v>
      </c>
      <c r="Q73">
        <v>623151608</v>
      </c>
      <c r="R73">
        <v>623101609</v>
      </c>
    </row>
    <row r="74" spans="2:18" x14ac:dyDescent="0.25">
      <c r="B74">
        <v>247842</v>
      </c>
      <c r="C74">
        <v>246843</v>
      </c>
      <c r="E74">
        <v>1048460</v>
      </c>
      <c r="F74">
        <v>1046461</v>
      </c>
      <c r="H74">
        <v>2191119</v>
      </c>
      <c r="I74">
        <v>2188120</v>
      </c>
      <c r="K74">
        <v>25062658</v>
      </c>
      <c r="L74">
        <v>25052659</v>
      </c>
      <c r="N74">
        <v>99848506</v>
      </c>
      <c r="O74">
        <v>99828507</v>
      </c>
      <c r="Q74">
        <v>622800430</v>
      </c>
      <c r="R74">
        <v>622750431</v>
      </c>
    </row>
    <row r="75" spans="2:18" x14ac:dyDescent="0.25">
      <c r="B75">
        <v>256505</v>
      </c>
      <c r="C75">
        <v>255506</v>
      </c>
      <c r="E75">
        <v>1002857</v>
      </c>
      <c r="F75">
        <v>1000858</v>
      </c>
      <c r="H75">
        <v>2189844</v>
      </c>
      <c r="I75">
        <v>2186845</v>
      </c>
      <c r="K75">
        <v>25445460</v>
      </c>
      <c r="L75">
        <v>25435461</v>
      </c>
      <c r="N75">
        <v>100374183</v>
      </c>
      <c r="O75">
        <v>100354184</v>
      </c>
      <c r="Q75">
        <v>621868835</v>
      </c>
      <c r="R75">
        <v>621818836</v>
      </c>
    </row>
    <row r="76" spans="2:18" x14ac:dyDescent="0.25">
      <c r="B76">
        <v>242112</v>
      </c>
      <c r="C76">
        <v>241113</v>
      </c>
      <c r="E76">
        <v>978901</v>
      </c>
      <c r="F76">
        <v>976902</v>
      </c>
      <c r="H76">
        <v>2256356</v>
      </c>
      <c r="I76">
        <v>2253357</v>
      </c>
      <c r="K76">
        <v>24700661</v>
      </c>
      <c r="L76">
        <v>24690662</v>
      </c>
      <c r="N76">
        <v>100067602</v>
      </c>
      <c r="O76">
        <v>100047603</v>
      </c>
      <c r="Q76">
        <v>624813059</v>
      </c>
      <c r="R76">
        <v>624763060</v>
      </c>
    </row>
    <row r="77" spans="2:18" x14ac:dyDescent="0.25">
      <c r="B77">
        <v>252829</v>
      </c>
      <c r="C77">
        <v>251830</v>
      </c>
      <c r="E77">
        <v>1003820</v>
      </c>
      <c r="F77">
        <v>1001821</v>
      </c>
      <c r="H77">
        <v>2237200</v>
      </c>
      <c r="I77">
        <v>2234201</v>
      </c>
      <c r="K77">
        <v>24759552</v>
      </c>
      <c r="L77">
        <v>24749553</v>
      </c>
      <c r="N77">
        <v>99259033</v>
      </c>
      <c r="O77">
        <v>99239034</v>
      </c>
      <c r="Q77">
        <v>623962329</v>
      </c>
      <c r="R77">
        <v>623912330</v>
      </c>
    </row>
    <row r="78" spans="2:18" x14ac:dyDescent="0.25">
      <c r="B78">
        <v>243404</v>
      </c>
      <c r="C78">
        <v>242405</v>
      </c>
      <c r="E78">
        <v>1003319</v>
      </c>
      <c r="F78">
        <v>1001320</v>
      </c>
      <c r="H78">
        <v>2188002</v>
      </c>
      <c r="I78">
        <v>2185003</v>
      </c>
      <c r="K78">
        <v>25245829</v>
      </c>
      <c r="L78">
        <v>25235830</v>
      </c>
      <c r="N78">
        <v>98913968</v>
      </c>
      <c r="O78">
        <v>98893969</v>
      </c>
      <c r="Q78">
        <v>626029300</v>
      </c>
      <c r="R78">
        <v>625979301</v>
      </c>
    </row>
    <row r="79" spans="2:18" x14ac:dyDescent="0.25">
      <c r="B79">
        <v>250560</v>
      </c>
      <c r="C79">
        <v>249561</v>
      </c>
      <c r="E79">
        <v>998413</v>
      </c>
      <c r="F79">
        <v>996414</v>
      </c>
      <c r="H79">
        <v>2274171</v>
      </c>
      <c r="I79">
        <v>2271172</v>
      </c>
      <c r="K79">
        <v>25217604</v>
      </c>
      <c r="L79">
        <v>25207605</v>
      </c>
      <c r="N79">
        <v>99185831</v>
      </c>
      <c r="O79">
        <v>99165832</v>
      </c>
      <c r="Q79">
        <v>625840526</v>
      </c>
      <c r="R79">
        <v>625790527</v>
      </c>
    </row>
    <row r="80" spans="2:18" x14ac:dyDescent="0.25">
      <c r="B80">
        <v>255599</v>
      </c>
      <c r="C80">
        <v>254600</v>
      </c>
      <c r="E80">
        <v>999889</v>
      </c>
      <c r="F80">
        <v>997890</v>
      </c>
      <c r="H80">
        <v>2242639</v>
      </c>
      <c r="I80">
        <v>2239640</v>
      </c>
      <c r="K80">
        <v>25259922</v>
      </c>
      <c r="L80">
        <v>25249923</v>
      </c>
      <c r="N80">
        <v>100664576</v>
      </c>
      <c r="O80">
        <v>100644577</v>
      </c>
      <c r="Q80">
        <v>623035886</v>
      </c>
      <c r="R80">
        <v>622985887</v>
      </c>
    </row>
    <row r="81" spans="2:18" x14ac:dyDescent="0.25">
      <c r="B81">
        <v>258518</v>
      </c>
      <c r="C81">
        <v>257519</v>
      </c>
      <c r="E81">
        <v>1030540</v>
      </c>
      <c r="F81">
        <v>1028541</v>
      </c>
      <c r="H81">
        <v>2239295</v>
      </c>
      <c r="I81">
        <v>2236296</v>
      </c>
      <c r="K81">
        <v>25136983</v>
      </c>
      <c r="L81">
        <v>25126984</v>
      </c>
      <c r="N81">
        <v>100286265</v>
      </c>
      <c r="O81">
        <v>100266266</v>
      </c>
      <c r="Q81">
        <v>625801236</v>
      </c>
      <c r="R81">
        <v>625751237</v>
      </c>
    </row>
    <row r="82" spans="2:18" x14ac:dyDescent="0.25">
      <c r="B82">
        <v>239803</v>
      </c>
      <c r="C82">
        <v>238804</v>
      </c>
      <c r="E82">
        <v>1004097</v>
      </c>
      <c r="F82">
        <v>1002098</v>
      </c>
      <c r="H82">
        <v>2271425</v>
      </c>
      <c r="I82">
        <v>2268426</v>
      </c>
      <c r="K82">
        <v>25071867</v>
      </c>
      <c r="L82">
        <v>25061868</v>
      </c>
      <c r="N82">
        <v>100156118</v>
      </c>
      <c r="O82">
        <v>100136119</v>
      </c>
      <c r="Q82">
        <v>624510228</v>
      </c>
      <c r="R82">
        <v>624460229</v>
      </c>
    </row>
    <row r="83" spans="2:18" x14ac:dyDescent="0.25">
      <c r="B83">
        <v>252730</v>
      </c>
      <c r="C83">
        <v>251731</v>
      </c>
      <c r="E83">
        <v>982324</v>
      </c>
      <c r="F83">
        <v>980325</v>
      </c>
      <c r="H83">
        <v>2269615</v>
      </c>
      <c r="I83">
        <v>2266616</v>
      </c>
      <c r="K83">
        <v>24915932</v>
      </c>
      <c r="L83">
        <v>24905933</v>
      </c>
      <c r="N83">
        <v>99981852</v>
      </c>
      <c r="O83">
        <v>99961853</v>
      </c>
      <c r="Q83">
        <v>622437257</v>
      </c>
      <c r="R83">
        <v>622387258</v>
      </c>
    </row>
    <row r="84" spans="2:18" x14ac:dyDescent="0.25">
      <c r="B84">
        <v>249097</v>
      </c>
      <c r="C84">
        <v>248098</v>
      </c>
      <c r="E84">
        <v>998071</v>
      </c>
      <c r="F84">
        <v>996072</v>
      </c>
      <c r="H84">
        <v>2292069</v>
      </c>
      <c r="I84">
        <v>2289070</v>
      </c>
      <c r="K84">
        <v>24817263</v>
      </c>
      <c r="L84">
        <v>24807264</v>
      </c>
      <c r="N84">
        <v>99762976</v>
      </c>
      <c r="O84">
        <v>99742977</v>
      </c>
      <c r="Q84">
        <v>623739314</v>
      </c>
      <c r="R84">
        <v>623689315</v>
      </c>
    </row>
    <row r="85" spans="2:18" x14ac:dyDescent="0.25">
      <c r="B85">
        <v>258035</v>
      </c>
      <c r="C85">
        <v>257036</v>
      </c>
      <c r="E85">
        <v>994961</v>
      </c>
      <c r="F85">
        <v>992962</v>
      </c>
      <c r="H85">
        <v>2273291</v>
      </c>
      <c r="I85">
        <v>2270292</v>
      </c>
      <c r="K85">
        <v>25120906</v>
      </c>
      <c r="L85">
        <v>25110907</v>
      </c>
      <c r="N85">
        <v>99905636</v>
      </c>
      <c r="O85">
        <v>99885637</v>
      </c>
      <c r="Q85">
        <v>623904724</v>
      </c>
      <c r="R85">
        <v>623854725</v>
      </c>
    </row>
    <row r="86" spans="2:18" x14ac:dyDescent="0.25">
      <c r="B86">
        <v>251672</v>
      </c>
      <c r="C86">
        <v>250673</v>
      </c>
      <c r="E86">
        <v>991175</v>
      </c>
      <c r="F86">
        <v>989176</v>
      </c>
      <c r="H86">
        <v>2210051</v>
      </c>
      <c r="I86">
        <v>2207052</v>
      </c>
      <c r="K86">
        <v>25041708</v>
      </c>
      <c r="L86">
        <v>25031709</v>
      </c>
      <c r="N86">
        <v>99449304</v>
      </c>
      <c r="O86">
        <v>99429305</v>
      </c>
      <c r="Q86">
        <v>625647788</v>
      </c>
      <c r="R86">
        <v>625597789</v>
      </c>
    </row>
    <row r="87" spans="2:18" x14ac:dyDescent="0.25">
      <c r="B87">
        <v>256351</v>
      </c>
      <c r="C87">
        <v>255352</v>
      </c>
      <c r="E87">
        <v>976404</v>
      </c>
      <c r="F87">
        <v>974405</v>
      </c>
      <c r="H87">
        <v>2237351</v>
      </c>
      <c r="I87">
        <v>2234352</v>
      </c>
      <c r="K87">
        <v>24925694</v>
      </c>
      <c r="L87">
        <v>24915695</v>
      </c>
      <c r="N87">
        <v>100830769</v>
      </c>
      <c r="O87">
        <v>100810770</v>
      </c>
      <c r="Q87">
        <v>627012781</v>
      </c>
      <c r="R87">
        <v>626962782</v>
      </c>
    </row>
    <row r="88" spans="2:18" x14ac:dyDescent="0.25">
      <c r="B88">
        <v>249108</v>
      </c>
      <c r="C88">
        <v>248109</v>
      </c>
      <c r="E88">
        <v>991167</v>
      </c>
      <c r="F88">
        <v>989168</v>
      </c>
      <c r="H88">
        <v>2274664</v>
      </c>
      <c r="I88">
        <v>2271665</v>
      </c>
      <c r="K88">
        <v>24950781</v>
      </c>
      <c r="L88">
        <v>24940782</v>
      </c>
      <c r="N88">
        <v>99798378</v>
      </c>
      <c r="O88">
        <v>99778379</v>
      </c>
      <c r="Q88">
        <v>623641533</v>
      </c>
      <c r="R88">
        <v>623591534</v>
      </c>
    </row>
    <row r="89" spans="2:18" x14ac:dyDescent="0.25">
      <c r="B89">
        <v>251998</v>
      </c>
      <c r="C89">
        <v>250999</v>
      </c>
      <c r="E89">
        <v>997818</v>
      </c>
      <c r="F89">
        <v>995819</v>
      </c>
      <c r="H89">
        <v>2257442</v>
      </c>
      <c r="I89">
        <v>2254443</v>
      </c>
      <c r="K89">
        <v>24981829</v>
      </c>
      <c r="L89">
        <v>24971830</v>
      </c>
      <c r="N89">
        <v>99741797</v>
      </c>
      <c r="O89">
        <v>99721798</v>
      </c>
      <c r="Q89">
        <v>622772842</v>
      </c>
      <c r="R89">
        <v>622722843</v>
      </c>
    </row>
    <row r="90" spans="2:18" x14ac:dyDescent="0.25">
      <c r="B90">
        <v>257361</v>
      </c>
      <c r="C90">
        <v>256362</v>
      </c>
      <c r="E90">
        <v>991374</v>
      </c>
      <c r="F90">
        <v>989375</v>
      </c>
      <c r="H90">
        <v>2271202</v>
      </c>
      <c r="I90">
        <v>2268203</v>
      </c>
      <c r="K90">
        <v>24863100</v>
      </c>
      <c r="L90">
        <v>24853101</v>
      </c>
      <c r="N90">
        <v>99659095</v>
      </c>
      <c r="O90">
        <v>99639096</v>
      </c>
      <c r="Q90">
        <v>624286255</v>
      </c>
      <c r="R90">
        <v>624236256</v>
      </c>
    </row>
    <row r="91" spans="2:18" x14ac:dyDescent="0.25">
      <c r="B91">
        <v>257429</v>
      </c>
      <c r="C91">
        <v>256430</v>
      </c>
      <c r="E91">
        <v>1014415</v>
      </c>
      <c r="F91">
        <v>1012416</v>
      </c>
      <c r="H91">
        <v>2205596</v>
      </c>
      <c r="I91">
        <v>2202597</v>
      </c>
      <c r="K91">
        <v>25100067</v>
      </c>
      <c r="L91">
        <v>25090068</v>
      </c>
      <c r="N91">
        <v>99195225</v>
      </c>
      <c r="O91">
        <v>99175226</v>
      </c>
      <c r="Q91">
        <v>623174047</v>
      </c>
      <c r="R91">
        <v>623124048</v>
      </c>
    </row>
    <row r="92" spans="2:18" x14ac:dyDescent="0.25">
      <c r="B92">
        <v>257744</v>
      </c>
      <c r="C92">
        <v>256745</v>
      </c>
      <c r="E92">
        <v>992824</v>
      </c>
      <c r="F92">
        <v>990825</v>
      </c>
      <c r="H92">
        <v>2242503</v>
      </c>
      <c r="I92">
        <v>2239504</v>
      </c>
      <c r="K92">
        <v>24659311</v>
      </c>
      <c r="L92">
        <v>24649312</v>
      </c>
      <c r="N92">
        <v>99746209</v>
      </c>
      <c r="O92">
        <v>99726210</v>
      </c>
      <c r="Q92">
        <v>624998762</v>
      </c>
      <c r="R92">
        <v>624948763</v>
      </c>
    </row>
    <row r="93" spans="2:18" x14ac:dyDescent="0.25">
      <c r="B93">
        <v>253266</v>
      </c>
      <c r="C93">
        <v>252267</v>
      </c>
      <c r="E93">
        <v>969853</v>
      </c>
      <c r="F93">
        <v>967854</v>
      </c>
      <c r="H93">
        <v>2195322</v>
      </c>
      <c r="I93">
        <v>2192323</v>
      </c>
      <c r="K93">
        <v>25258234</v>
      </c>
      <c r="L93">
        <v>25248235</v>
      </c>
      <c r="N93">
        <v>99914846</v>
      </c>
      <c r="O93">
        <v>99894847</v>
      </c>
      <c r="Q93">
        <v>623576059</v>
      </c>
      <c r="R93">
        <v>623526060</v>
      </c>
    </row>
    <row r="94" spans="2:18" x14ac:dyDescent="0.25">
      <c r="B94">
        <v>258869</v>
      </c>
      <c r="C94">
        <v>257870</v>
      </c>
      <c r="E94">
        <v>987423</v>
      </c>
      <c r="F94">
        <v>985424</v>
      </c>
      <c r="H94">
        <v>2252883</v>
      </c>
      <c r="I94">
        <v>2249884</v>
      </c>
      <c r="K94">
        <v>24955522</v>
      </c>
      <c r="L94">
        <v>24945523</v>
      </c>
      <c r="N94">
        <v>99902273</v>
      </c>
      <c r="O94">
        <v>99882274</v>
      </c>
      <c r="Q94">
        <v>624128387</v>
      </c>
      <c r="R94">
        <v>624078388</v>
      </c>
    </row>
    <row r="95" spans="2:18" x14ac:dyDescent="0.25">
      <c r="B95">
        <v>251897</v>
      </c>
      <c r="C95">
        <v>250898</v>
      </c>
      <c r="E95">
        <v>985630</v>
      </c>
      <c r="F95">
        <v>983631</v>
      </c>
      <c r="H95">
        <v>2272821</v>
      </c>
      <c r="I95">
        <v>2269822</v>
      </c>
      <c r="K95">
        <v>24963706</v>
      </c>
      <c r="L95">
        <v>24953707</v>
      </c>
      <c r="N95">
        <v>100048031</v>
      </c>
      <c r="O95">
        <v>100028032</v>
      </c>
      <c r="Q95">
        <v>623105025</v>
      </c>
      <c r="R95">
        <v>623055026</v>
      </c>
    </row>
    <row r="96" spans="2:18" x14ac:dyDescent="0.25">
      <c r="B96">
        <v>251887</v>
      </c>
      <c r="C96">
        <v>250888</v>
      </c>
      <c r="E96">
        <v>1007886</v>
      </c>
      <c r="F96">
        <v>1005887</v>
      </c>
      <c r="H96">
        <v>2241239</v>
      </c>
      <c r="I96">
        <v>2238240</v>
      </c>
      <c r="K96">
        <v>25225308</v>
      </c>
      <c r="L96">
        <v>25215309</v>
      </c>
      <c r="N96">
        <v>99601936</v>
      </c>
      <c r="O96">
        <v>99581937</v>
      </c>
      <c r="Q96">
        <v>622712819</v>
      </c>
      <c r="R96">
        <v>622662820</v>
      </c>
    </row>
    <row r="97" spans="1:18" x14ac:dyDescent="0.25">
      <c r="B97">
        <v>255339</v>
      </c>
      <c r="C97">
        <v>254340</v>
      </c>
      <c r="E97">
        <v>1030043</v>
      </c>
      <c r="F97">
        <v>1028044</v>
      </c>
      <c r="H97">
        <v>2261964</v>
      </c>
      <c r="I97">
        <v>2258965</v>
      </c>
      <c r="K97">
        <v>24994318</v>
      </c>
      <c r="L97">
        <v>24984319</v>
      </c>
      <c r="N97">
        <v>99299780</v>
      </c>
      <c r="O97">
        <v>99279781</v>
      </c>
      <c r="Q97">
        <v>626847496</v>
      </c>
      <c r="R97">
        <v>626797497</v>
      </c>
    </row>
    <row r="98" spans="1:18" x14ac:dyDescent="0.25">
      <c r="B98">
        <v>251931</v>
      </c>
      <c r="C98">
        <v>250932</v>
      </c>
      <c r="E98">
        <v>1002444</v>
      </c>
      <c r="F98">
        <v>1000445</v>
      </c>
      <c r="H98">
        <v>2273936</v>
      </c>
      <c r="I98">
        <v>2270937</v>
      </c>
      <c r="K98">
        <v>24954945</v>
      </c>
      <c r="L98">
        <v>24944946</v>
      </c>
      <c r="N98">
        <v>100500547</v>
      </c>
      <c r="O98">
        <v>100480548</v>
      </c>
      <c r="Q98">
        <v>625917551</v>
      </c>
      <c r="R98">
        <v>625867552</v>
      </c>
    </row>
    <row r="99" spans="1:18" x14ac:dyDescent="0.25">
      <c r="B99">
        <v>258979</v>
      </c>
      <c r="C99">
        <v>257980</v>
      </c>
      <c r="E99">
        <v>1017549</v>
      </c>
      <c r="F99">
        <v>1015550</v>
      </c>
      <c r="H99">
        <v>2256040</v>
      </c>
      <c r="I99">
        <v>2253041</v>
      </c>
      <c r="K99">
        <v>25289570</v>
      </c>
      <c r="L99">
        <v>25279571</v>
      </c>
      <c r="N99">
        <v>100282621</v>
      </c>
      <c r="O99">
        <v>100262622</v>
      </c>
      <c r="Q99">
        <v>621949019</v>
      </c>
      <c r="R99">
        <v>621899020</v>
      </c>
    </row>
    <row r="100" spans="1:18" x14ac:dyDescent="0.25">
      <c r="B100">
        <v>248183</v>
      </c>
      <c r="C100">
        <v>247184</v>
      </c>
      <c r="E100">
        <v>994055</v>
      </c>
      <c r="F100">
        <v>992056</v>
      </c>
      <c r="H100">
        <v>2224070</v>
      </c>
      <c r="I100">
        <v>2221071</v>
      </c>
      <c r="K100">
        <v>25153668</v>
      </c>
      <c r="L100">
        <v>25143669</v>
      </c>
      <c r="N100">
        <v>100091472</v>
      </c>
      <c r="O100">
        <v>100071473</v>
      </c>
      <c r="Q100">
        <v>625422099</v>
      </c>
      <c r="R100">
        <v>625372100</v>
      </c>
    </row>
    <row r="101" spans="1:18" x14ac:dyDescent="0.25">
      <c r="B101">
        <v>246563</v>
      </c>
      <c r="C101">
        <v>245564</v>
      </c>
      <c r="E101">
        <v>1002587</v>
      </c>
      <c r="F101">
        <v>1000588</v>
      </c>
      <c r="H101">
        <v>2252319</v>
      </c>
      <c r="I101">
        <v>2249320</v>
      </c>
      <c r="K101">
        <v>24927578</v>
      </c>
      <c r="L101">
        <v>24917579</v>
      </c>
      <c r="N101">
        <v>100560824</v>
      </c>
      <c r="O101">
        <v>100540825</v>
      </c>
      <c r="Q101">
        <v>625918203</v>
      </c>
      <c r="R101">
        <v>625868204</v>
      </c>
    </row>
    <row r="102" spans="1:18" x14ac:dyDescent="0.25">
      <c r="B102">
        <v>250326</v>
      </c>
      <c r="C102">
        <v>249327</v>
      </c>
      <c r="E102">
        <v>989858</v>
      </c>
      <c r="F102">
        <v>987859</v>
      </c>
      <c r="H102">
        <v>2242540</v>
      </c>
      <c r="I102">
        <v>2239541</v>
      </c>
      <c r="K102">
        <v>24909235</v>
      </c>
      <c r="L102">
        <v>24899236</v>
      </c>
      <c r="N102">
        <v>100125544</v>
      </c>
      <c r="O102">
        <v>100105545</v>
      </c>
      <c r="Q102">
        <v>623331319</v>
      </c>
      <c r="R102">
        <v>623281320</v>
      </c>
    </row>
    <row r="103" spans="1:18" x14ac:dyDescent="0.25">
      <c r="B103">
        <v>250722</v>
      </c>
      <c r="C103">
        <v>249723</v>
      </c>
      <c r="E103">
        <v>998572</v>
      </c>
      <c r="F103">
        <v>996573</v>
      </c>
      <c r="H103">
        <v>2290508</v>
      </c>
      <c r="I103">
        <v>2287509</v>
      </c>
      <c r="K103">
        <v>24936639</v>
      </c>
      <c r="L103">
        <v>24926640</v>
      </c>
      <c r="N103">
        <v>99242476</v>
      </c>
      <c r="O103">
        <v>99222477</v>
      </c>
      <c r="Q103">
        <v>627207325</v>
      </c>
      <c r="R103">
        <v>627157326</v>
      </c>
    </row>
    <row r="104" spans="1:18" x14ac:dyDescent="0.25">
      <c r="A104" t="s">
        <v>3</v>
      </c>
      <c r="B104" s="1">
        <f>AVERAGE(B4:B103)</f>
        <v>251780.82</v>
      </c>
      <c r="C104" s="1">
        <f>AVERAGE(C4:C103)</f>
        <v>250781.82</v>
      </c>
      <c r="E104" s="1">
        <f>AVERAGE(E4:E103)</f>
        <v>1001828.99</v>
      </c>
      <c r="F104" s="1">
        <f>AVERAGE(F4:F103)</f>
        <v>999829.99</v>
      </c>
      <c r="H104" s="1">
        <f>AVERAGE(H4:H103)</f>
        <v>2249944.96</v>
      </c>
      <c r="I104" s="1">
        <f>AVERAGE(I4:I103)</f>
        <v>2246945.96</v>
      </c>
      <c r="K104" s="1">
        <f>AVERAGE(K4:K103)</f>
        <v>24993424.870000001</v>
      </c>
      <c r="L104" s="1">
        <f>AVERAGE(L4:L103)</f>
        <v>24983425.870000001</v>
      </c>
      <c r="N104" s="1">
        <f>AVERAGE(N4:N103)</f>
        <v>99891518.790000007</v>
      </c>
      <c r="O104" s="1">
        <f>AVERAGE(O4:O103)</f>
        <v>99871519.790000007</v>
      </c>
      <c r="Q104" s="1">
        <f>AVERAGE(Q4:Q103)</f>
        <v>624433436.25</v>
      </c>
      <c r="R104" s="1">
        <f>AVERAGE(R4:R103)</f>
        <v>624383437.25</v>
      </c>
    </row>
  </sheetData>
  <mergeCells count="3">
    <mergeCell ref="A1:AA1"/>
    <mergeCell ref="AC1:AG1"/>
    <mergeCell ref="AI1:AM1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BA57-6121-4286-B665-B706DA6664E8}">
  <dimension ref="A1:AL104"/>
  <sheetViews>
    <sheetView tabSelected="1" topLeftCell="U1" zoomScale="145" zoomScaleNormal="145" workbookViewId="0">
      <selection activeCell="AB4" sqref="AB4:AB9"/>
    </sheetView>
  </sheetViews>
  <sheetFormatPr defaultRowHeight="15" x14ac:dyDescent="0.25"/>
  <cols>
    <col min="17" max="17" width="8.28515625" customWidth="1"/>
    <col min="20" max="23" width="19" customWidth="1"/>
  </cols>
  <sheetData>
    <row r="1" spans="2:38" x14ac:dyDescent="0.25">
      <c r="AA1" s="3" t="s">
        <v>15</v>
      </c>
      <c r="AB1" s="3"/>
      <c r="AC1" s="3"/>
      <c r="AD1" s="3"/>
      <c r="AE1" s="3"/>
      <c r="AH1" s="3" t="s">
        <v>16</v>
      </c>
      <c r="AI1" s="3"/>
      <c r="AJ1" s="3"/>
      <c r="AK1" s="3"/>
      <c r="AL1" s="3"/>
    </row>
    <row r="2" spans="2:38" x14ac:dyDescent="0.25">
      <c r="B2" t="s">
        <v>1</v>
      </c>
      <c r="E2" t="s">
        <v>4</v>
      </c>
      <c r="H2" t="s">
        <v>5</v>
      </c>
      <c r="K2" t="s">
        <v>6</v>
      </c>
      <c r="N2" t="s">
        <v>7</v>
      </c>
      <c r="Q2" t="s">
        <v>8</v>
      </c>
      <c r="T2" s="2" t="s">
        <v>9</v>
      </c>
      <c r="U2" s="2"/>
      <c r="AA2" s="2" t="s">
        <v>9</v>
      </c>
      <c r="AB2" s="2"/>
      <c r="AH2" s="2" t="s">
        <v>9</v>
      </c>
      <c r="AI2" s="2"/>
    </row>
    <row r="3" spans="2:38" x14ac:dyDescent="0.25">
      <c r="B3" t="s">
        <v>0</v>
      </c>
      <c r="C3" t="s">
        <v>2</v>
      </c>
      <c r="E3" t="s">
        <v>0</v>
      </c>
      <c r="F3" t="s">
        <v>2</v>
      </c>
      <c r="H3" t="s">
        <v>0</v>
      </c>
      <c r="I3" t="s">
        <v>2</v>
      </c>
      <c r="K3" t="s">
        <v>0</v>
      </c>
      <c r="L3" t="s">
        <v>2</v>
      </c>
      <c r="N3" t="s">
        <v>0</v>
      </c>
      <c r="O3" t="s">
        <v>2</v>
      </c>
      <c r="Q3" t="s">
        <v>0</v>
      </c>
      <c r="R3" t="s">
        <v>2</v>
      </c>
      <c r="T3" t="s">
        <v>10</v>
      </c>
      <c r="U3" t="s">
        <v>0</v>
      </c>
      <c r="V3" t="s">
        <v>11</v>
      </c>
      <c r="W3" t="s">
        <v>12</v>
      </c>
      <c r="AA3" t="s">
        <v>10</v>
      </c>
      <c r="AB3" t="s">
        <v>0</v>
      </c>
      <c r="AC3" t="s">
        <v>11</v>
      </c>
      <c r="AD3" t="s">
        <v>12</v>
      </c>
      <c r="AE3" t="s">
        <v>13</v>
      </c>
      <c r="AH3" t="s">
        <v>10</v>
      </c>
      <c r="AI3" t="s">
        <v>0</v>
      </c>
      <c r="AJ3" t="s">
        <v>11</v>
      </c>
      <c r="AK3" t="s">
        <v>12</v>
      </c>
      <c r="AL3" t="s">
        <v>13</v>
      </c>
    </row>
    <row r="4" spans="2:38" x14ac:dyDescent="0.25">
      <c r="B4">
        <v>739668</v>
      </c>
      <c r="C4">
        <v>500500</v>
      </c>
      <c r="E4">
        <v>2940306</v>
      </c>
      <c r="F4">
        <v>2001000</v>
      </c>
      <c r="H4">
        <v>6713709</v>
      </c>
      <c r="I4">
        <v>4501500</v>
      </c>
      <c r="K4">
        <v>73917021</v>
      </c>
      <c r="L4">
        <v>50005000</v>
      </c>
      <c r="N4">
        <v>300671088</v>
      </c>
      <c r="O4">
        <v>200010000</v>
      </c>
      <c r="Q4">
        <v>1882914114</v>
      </c>
      <c r="R4">
        <v>1250025000</v>
      </c>
      <c r="T4">
        <v>1000</v>
      </c>
      <c r="U4">
        <f>B104</f>
        <v>529936.66</v>
      </c>
      <c r="V4">
        <f>C104</f>
        <v>390846.96</v>
      </c>
      <c r="W4">
        <f>Таблица13[[#This Row],[N]]*(Таблица13[[#This Row],[N]]+1)/2</f>
        <v>500500</v>
      </c>
      <c r="AA4">
        <v>1000</v>
      </c>
      <c r="AB4">
        <v>0</v>
      </c>
      <c r="AC4">
        <v>5050</v>
      </c>
      <c r="AD4">
        <f>Таблица146[[#This Row],[N]]*(Таблица146[[#This Row],[N]]+1)/2</f>
        <v>500500</v>
      </c>
      <c r="AE4">
        <f>Таблица146[[#This Row],[Copy]]-Таблица146[[#This Row],[N(N+1)/2]]</f>
        <v>-500500</v>
      </c>
      <c r="AH4">
        <v>1000</v>
      </c>
      <c r="AI4">
        <v>1498500</v>
      </c>
      <c r="AJ4">
        <v>500500</v>
      </c>
      <c r="AK4">
        <f>Таблица1457[[#This Row],[N]]*(Таблица1457[[#This Row],[N]]+1)/2</f>
        <v>500500</v>
      </c>
      <c r="AL4">
        <f>Таблица1457[[#This Row],[Copy]]-Таблица1457[[#This Row],[N(N+1)/2]]</f>
        <v>998000</v>
      </c>
    </row>
    <row r="5" spans="2:38" x14ac:dyDescent="0.25">
      <c r="B5">
        <v>739110</v>
      </c>
      <c r="C5">
        <v>500500</v>
      </c>
      <c r="E5">
        <v>2908980</v>
      </c>
      <c r="F5">
        <v>2001000</v>
      </c>
      <c r="H5">
        <v>6585360</v>
      </c>
      <c r="I5">
        <v>4501500</v>
      </c>
      <c r="K5">
        <v>74623221</v>
      </c>
      <c r="L5">
        <v>50005000</v>
      </c>
      <c r="N5">
        <v>300639459</v>
      </c>
      <c r="O5">
        <v>200010000</v>
      </c>
      <c r="Q5">
        <v>1871282787</v>
      </c>
      <c r="R5">
        <v>1250025000</v>
      </c>
      <c r="T5">
        <v>2000</v>
      </c>
      <c r="U5">
        <f>E104</f>
        <v>1977361.01</v>
      </c>
      <c r="V5">
        <f>F104</f>
        <v>1489476.17</v>
      </c>
      <c r="W5">
        <f>Таблица13[[#This Row],[N]]*(Таблица13[[#This Row],[N]]+1)/2</f>
        <v>2001000</v>
      </c>
      <c r="AA5">
        <v>2000</v>
      </c>
      <c r="AB5">
        <v>0</v>
      </c>
      <c r="AC5">
        <v>500500</v>
      </c>
      <c r="AD5">
        <f>Таблица146[[#This Row],[N]]*(Таблица146[[#This Row],[N]]+1)/2</f>
        <v>2001000</v>
      </c>
      <c r="AE5">
        <f>Таблица146[[#This Row],[Copy]]-Таблица146[[#This Row],[N(N+1)/2]]</f>
        <v>-2001000</v>
      </c>
      <c r="AH5">
        <v>2000</v>
      </c>
      <c r="AI5">
        <v>5997000</v>
      </c>
      <c r="AJ5">
        <v>2001000</v>
      </c>
      <c r="AK5">
        <f>Таблица1457[[#This Row],[N]]*(Таблица1457[[#This Row],[N]]+1)/2</f>
        <v>2001000</v>
      </c>
      <c r="AL5">
        <f>Таблица1457[[#This Row],[Copy]]-Таблица1457[[#This Row],[N(N+1)/2]]</f>
        <v>3996000</v>
      </c>
    </row>
    <row r="6" spans="2:38" x14ac:dyDescent="0.25">
      <c r="B6">
        <v>735981</v>
      </c>
      <c r="C6">
        <v>500500</v>
      </c>
      <c r="E6">
        <v>3011493</v>
      </c>
      <c r="F6">
        <v>2001000</v>
      </c>
      <c r="H6">
        <v>6789729</v>
      </c>
      <c r="I6">
        <v>4501500</v>
      </c>
      <c r="K6">
        <v>74840988</v>
      </c>
      <c r="L6">
        <v>50005000</v>
      </c>
      <c r="N6">
        <v>298901544</v>
      </c>
      <c r="O6">
        <v>200010000</v>
      </c>
      <c r="Q6">
        <v>1872054552</v>
      </c>
      <c r="R6">
        <v>1250025000</v>
      </c>
      <c r="T6">
        <v>3000</v>
      </c>
      <c r="U6">
        <f>H104</f>
        <v>6731855.9400000004</v>
      </c>
      <c r="V6">
        <f>I104</f>
        <v>4501500</v>
      </c>
      <c r="W6">
        <f>Таблица13[[#This Row],[N]]*(Таблица13[[#This Row],[N]]+1)/2</f>
        <v>4501500</v>
      </c>
      <c r="AA6">
        <v>3000</v>
      </c>
      <c r="AB6">
        <v>0</v>
      </c>
      <c r="AC6">
        <v>2001000</v>
      </c>
      <c r="AD6">
        <f>Таблица146[[#This Row],[N]]*(Таблица146[[#This Row],[N]]+1)/2</f>
        <v>4501500</v>
      </c>
      <c r="AE6">
        <f>Таблица146[[#This Row],[Copy]]-Таблица146[[#This Row],[N(N+1)/2]]</f>
        <v>-4501500</v>
      </c>
      <c r="AH6">
        <v>3000</v>
      </c>
      <c r="AI6">
        <v>13495500</v>
      </c>
      <c r="AJ6">
        <v>4501500</v>
      </c>
      <c r="AK6">
        <f>Таблица1457[[#This Row],[N]]*(Таблица1457[[#This Row],[N]]+1)/2</f>
        <v>4501500</v>
      </c>
      <c r="AL6">
        <f>Таблица1457[[#This Row],[Copy]]-Таблица1457[[#This Row],[N(N+1)/2]]</f>
        <v>8994000</v>
      </c>
    </row>
    <row r="7" spans="2:38" x14ac:dyDescent="0.25">
      <c r="B7">
        <v>738006</v>
      </c>
      <c r="C7">
        <v>500500</v>
      </c>
      <c r="E7">
        <v>3015558</v>
      </c>
      <c r="F7">
        <v>2001000</v>
      </c>
      <c r="H7">
        <v>6762069</v>
      </c>
      <c r="I7">
        <v>4501500</v>
      </c>
      <c r="K7">
        <v>74718663</v>
      </c>
      <c r="L7">
        <v>50005000</v>
      </c>
      <c r="N7">
        <v>300610011</v>
      </c>
      <c r="O7">
        <v>200010000</v>
      </c>
      <c r="Q7">
        <v>1876313943</v>
      </c>
      <c r="R7">
        <v>1250025000</v>
      </c>
      <c r="T7">
        <v>10000</v>
      </c>
      <c r="U7">
        <f>K104</f>
        <v>54006539.479999997</v>
      </c>
      <c r="V7">
        <f>L104</f>
        <v>39508781.939999998</v>
      </c>
      <c r="W7">
        <f>Таблица13[[#This Row],[N]]*(Таблица13[[#This Row],[N]]+1)/2</f>
        <v>50005000</v>
      </c>
      <c r="AA7">
        <v>10000</v>
      </c>
      <c r="AB7">
        <v>0</v>
      </c>
      <c r="AC7">
        <v>4501500</v>
      </c>
      <c r="AD7">
        <f>Таблица146[[#This Row],[N]]*(Таблица146[[#This Row],[N]]+1)/2</f>
        <v>50005000</v>
      </c>
      <c r="AE7">
        <f>Таблица146[[#This Row],[Copy]]-Таблица146[[#This Row],[N(N+1)/2]]</f>
        <v>-50005000</v>
      </c>
      <c r="AH7">
        <v>10000</v>
      </c>
      <c r="AI7">
        <v>149985000</v>
      </c>
      <c r="AJ7">
        <v>50005000</v>
      </c>
      <c r="AK7">
        <f>Таблица1457[[#This Row],[N]]*(Таблица1457[[#This Row],[N]]+1)/2</f>
        <v>50005000</v>
      </c>
      <c r="AL7">
        <f>Таблица1457[[#This Row],[Copy]]-Таблица1457[[#This Row],[N(N+1)/2]]</f>
        <v>99980000</v>
      </c>
    </row>
    <row r="8" spans="2:38" x14ac:dyDescent="0.25">
      <c r="B8">
        <v>738537</v>
      </c>
      <c r="C8">
        <v>500500</v>
      </c>
      <c r="E8">
        <v>2980662</v>
      </c>
      <c r="F8">
        <v>2001000</v>
      </c>
      <c r="H8">
        <v>6842064</v>
      </c>
      <c r="I8">
        <v>4501500</v>
      </c>
      <c r="K8">
        <v>75491700</v>
      </c>
      <c r="L8">
        <v>50005000</v>
      </c>
      <c r="N8">
        <v>298604997</v>
      </c>
      <c r="O8">
        <v>200010000</v>
      </c>
      <c r="Q8">
        <v>1874568327</v>
      </c>
      <c r="R8">
        <v>1250025000</v>
      </c>
      <c r="T8">
        <v>20000</v>
      </c>
      <c r="U8">
        <f>N104</f>
        <v>299497654.31999999</v>
      </c>
      <c r="V8">
        <f>O104</f>
        <v>200010000</v>
      </c>
      <c r="W8">
        <f>Таблица13[[#This Row],[N]]*(Таблица13[[#This Row],[N]]+1)/2</f>
        <v>200010000</v>
      </c>
      <c r="AA8">
        <v>20000</v>
      </c>
      <c r="AB8">
        <v>0</v>
      </c>
      <c r="AC8">
        <v>50005000</v>
      </c>
      <c r="AD8">
        <f>Таблица146[[#This Row],[N]]*(Таблица146[[#This Row],[N]]+1)/2</f>
        <v>200010000</v>
      </c>
      <c r="AE8">
        <f>Таблица146[[#This Row],[Copy]]-Таблица146[[#This Row],[N(N+1)/2]]</f>
        <v>-200010000</v>
      </c>
      <c r="AH8">
        <v>20000</v>
      </c>
      <c r="AI8">
        <v>599970000</v>
      </c>
      <c r="AJ8">
        <v>200010000</v>
      </c>
      <c r="AK8">
        <f>Таблица1457[[#This Row],[N]]*(Таблица1457[[#This Row],[N]]+1)/2</f>
        <v>200010000</v>
      </c>
      <c r="AL8">
        <f>Таблица1457[[#This Row],[Copy]]-Таблица1457[[#This Row],[N(N+1)/2]]</f>
        <v>399960000</v>
      </c>
    </row>
    <row r="9" spans="2:38" x14ac:dyDescent="0.25">
      <c r="B9">
        <v>754128</v>
      </c>
      <c r="C9">
        <v>500500</v>
      </c>
      <c r="E9">
        <v>3015096</v>
      </c>
      <c r="F9">
        <v>2001000</v>
      </c>
      <c r="H9">
        <v>6585675</v>
      </c>
      <c r="I9">
        <v>4501500</v>
      </c>
      <c r="K9">
        <v>74519769</v>
      </c>
      <c r="L9">
        <v>50005000</v>
      </c>
      <c r="N9">
        <v>298942167</v>
      </c>
      <c r="O9">
        <v>200010000</v>
      </c>
      <c r="Q9">
        <v>1862119500</v>
      </c>
      <c r="R9">
        <v>1250025000</v>
      </c>
      <c r="T9">
        <v>50000</v>
      </c>
      <c r="U9">
        <f>Q104</f>
        <v>1873341853.0799999</v>
      </c>
      <c r="V9">
        <f>R104</f>
        <v>1250025000</v>
      </c>
      <c r="W9">
        <f>Таблица13[[#This Row],[N]]*(Таблица13[[#This Row],[N]]+1)/2</f>
        <v>1250025000</v>
      </c>
      <c r="AA9">
        <v>50000</v>
      </c>
      <c r="AB9">
        <v>0</v>
      </c>
      <c r="AC9">
        <v>200010000</v>
      </c>
      <c r="AD9">
        <f>Таблица146[[#This Row],[N]]*(Таблица146[[#This Row],[N]]+1)/2</f>
        <v>1250025000</v>
      </c>
      <c r="AE9">
        <f>Таблица146[[#This Row],[Copy]]-Таблица146[[#This Row],[N(N+1)/2]]</f>
        <v>-1250025000</v>
      </c>
      <c r="AH9">
        <v>50000</v>
      </c>
      <c r="AI9">
        <v>3749925000</v>
      </c>
      <c r="AJ9">
        <v>1250025000</v>
      </c>
      <c r="AK9">
        <f>Таблица1457[[#This Row],[N]]*(Таблица1457[[#This Row],[N]]+1)/2</f>
        <v>1250025000</v>
      </c>
      <c r="AL9">
        <f>Таблица1457[[#This Row],[Copy]]-Таблица1457[[#This Row],[N(N+1)/2]]</f>
        <v>2499900000</v>
      </c>
    </row>
    <row r="10" spans="2:38" x14ac:dyDescent="0.25">
      <c r="B10">
        <v>730032</v>
      </c>
      <c r="C10">
        <v>500500</v>
      </c>
      <c r="E10">
        <v>3009021</v>
      </c>
      <c r="F10">
        <v>2001000</v>
      </c>
      <c r="H10">
        <v>6712089</v>
      </c>
      <c r="I10">
        <v>4501500</v>
      </c>
      <c r="K10">
        <v>75338361</v>
      </c>
      <c r="L10">
        <v>50005000</v>
      </c>
      <c r="N10">
        <v>298997751</v>
      </c>
      <c r="O10">
        <v>200010000</v>
      </c>
      <c r="Q10">
        <v>1883308362</v>
      </c>
      <c r="R10">
        <v>1250025000</v>
      </c>
      <c r="AB10">
        <v>0</v>
      </c>
      <c r="AC10">
        <v>1250025000</v>
      </c>
      <c r="AD10" s="4">
        <f>Таблица146[[#This Row],[N]]*(Таблица146[[#This Row],[N]]+1)/2</f>
        <v>0</v>
      </c>
      <c r="AE10" s="4">
        <f>Таблица146[[#This Row],[Copy]]-Таблица146[[#This Row],[N(N+1)/2]]</f>
        <v>0</v>
      </c>
    </row>
    <row r="11" spans="2:38" x14ac:dyDescent="0.25">
      <c r="B11">
        <v>740205</v>
      </c>
      <c r="C11">
        <v>500500</v>
      </c>
      <c r="E11">
        <v>3006399</v>
      </c>
      <c r="F11">
        <v>2001000</v>
      </c>
      <c r="H11">
        <v>6733260</v>
      </c>
      <c r="I11">
        <v>4501500</v>
      </c>
      <c r="K11">
        <v>75967227</v>
      </c>
      <c r="L11">
        <v>50005000</v>
      </c>
      <c r="N11">
        <v>300156747</v>
      </c>
      <c r="O11">
        <v>200010000</v>
      </c>
      <c r="Q11">
        <v>1875014895</v>
      </c>
      <c r="R11">
        <v>1250025000</v>
      </c>
    </row>
    <row r="12" spans="2:38" x14ac:dyDescent="0.25">
      <c r="B12">
        <v>746328</v>
      </c>
      <c r="C12">
        <v>500500</v>
      </c>
      <c r="E12">
        <v>2950128</v>
      </c>
      <c r="F12">
        <v>2001000</v>
      </c>
      <c r="H12">
        <v>6686436</v>
      </c>
      <c r="I12">
        <v>4501500</v>
      </c>
      <c r="K12">
        <v>74835867</v>
      </c>
      <c r="L12">
        <v>50005000</v>
      </c>
      <c r="N12">
        <v>299865081</v>
      </c>
      <c r="O12">
        <v>200010000</v>
      </c>
      <c r="Q12">
        <v>1874905455</v>
      </c>
      <c r="R12">
        <v>1250025000</v>
      </c>
    </row>
    <row r="13" spans="2:38" x14ac:dyDescent="0.25">
      <c r="B13">
        <v>762024</v>
      </c>
      <c r="C13">
        <v>500500</v>
      </c>
      <c r="E13">
        <v>3006138</v>
      </c>
      <c r="F13">
        <v>2001000</v>
      </c>
      <c r="H13">
        <v>6686571</v>
      </c>
      <c r="I13">
        <v>4501500</v>
      </c>
      <c r="K13">
        <v>75291834</v>
      </c>
      <c r="L13">
        <v>50005000</v>
      </c>
      <c r="N13">
        <v>298512252</v>
      </c>
      <c r="O13">
        <v>200010000</v>
      </c>
      <c r="Q13">
        <v>1879554690</v>
      </c>
      <c r="R13">
        <v>1250025000</v>
      </c>
    </row>
    <row r="14" spans="2:38" x14ac:dyDescent="0.25">
      <c r="B14">
        <v>739914</v>
      </c>
      <c r="C14">
        <v>500500</v>
      </c>
      <c r="E14">
        <v>2978697</v>
      </c>
      <c r="F14">
        <v>2001000</v>
      </c>
      <c r="H14">
        <v>6758529</v>
      </c>
      <c r="I14">
        <v>4501500</v>
      </c>
      <c r="K14">
        <v>74739294</v>
      </c>
      <c r="L14">
        <v>50005000</v>
      </c>
      <c r="N14">
        <v>301161717</v>
      </c>
      <c r="O14">
        <v>200010000</v>
      </c>
      <c r="Q14">
        <v>1869747543</v>
      </c>
      <c r="R14">
        <v>1250025000</v>
      </c>
    </row>
    <row r="15" spans="2:38" x14ac:dyDescent="0.25">
      <c r="B15">
        <v>739776</v>
      </c>
      <c r="C15">
        <v>500500</v>
      </c>
      <c r="E15">
        <v>3034689</v>
      </c>
      <c r="F15">
        <v>2001000</v>
      </c>
      <c r="H15">
        <v>6930885</v>
      </c>
      <c r="I15">
        <v>4501500</v>
      </c>
      <c r="K15">
        <v>74798157</v>
      </c>
      <c r="L15">
        <v>50005000</v>
      </c>
      <c r="N15">
        <v>296788005</v>
      </c>
      <c r="O15">
        <v>200010000</v>
      </c>
      <c r="Q15">
        <v>1863429588</v>
      </c>
      <c r="R15">
        <v>1250025000</v>
      </c>
    </row>
    <row r="16" spans="2:38" x14ac:dyDescent="0.25">
      <c r="B16">
        <v>759867</v>
      </c>
      <c r="C16">
        <v>500500</v>
      </c>
      <c r="E16">
        <v>3041124</v>
      </c>
      <c r="F16">
        <v>2001000</v>
      </c>
      <c r="H16">
        <v>6653022</v>
      </c>
      <c r="I16">
        <v>4501500</v>
      </c>
      <c r="K16">
        <v>74839584</v>
      </c>
      <c r="L16">
        <v>50005000</v>
      </c>
      <c r="N16">
        <v>301308390</v>
      </c>
      <c r="O16">
        <v>200010000</v>
      </c>
      <c r="Q16">
        <v>1870328349</v>
      </c>
      <c r="R16">
        <v>1250025000</v>
      </c>
    </row>
    <row r="17" spans="2:18" x14ac:dyDescent="0.25">
      <c r="B17">
        <v>748329</v>
      </c>
      <c r="C17">
        <v>500500</v>
      </c>
      <c r="E17">
        <v>3035337</v>
      </c>
      <c r="F17">
        <v>2001000</v>
      </c>
      <c r="H17">
        <v>6824307</v>
      </c>
      <c r="I17">
        <v>4501500</v>
      </c>
      <c r="K17">
        <v>75373122</v>
      </c>
      <c r="L17">
        <v>50005000</v>
      </c>
      <c r="N17">
        <v>299091087</v>
      </c>
      <c r="O17">
        <v>200010000</v>
      </c>
      <c r="Q17">
        <v>1871538009</v>
      </c>
      <c r="R17">
        <v>1250025000</v>
      </c>
    </row>
    <row r="18" spans="2:18" x14ac:dyDescent="0.25">
      <c r="B18">
        <v>741345</v>
      </c>
      <c r="C18">
        <v>500500</v>
      </c>
      <c r="E18">
        <v>3032709</v>
      </c>
      <c r="F18">
        <v>2001000</v>
      </c>
      <c r="H18">
        <v>6741996</v>
      </c>
      <c r="I18">
        <v>4501500</v>
      </c>
      <c r="K18">
        <v>75288231</v>
      </c>
      <c r="L18">
        <v>50005000</v>
      </c>
      <c r="N18">
        <v>297478272</v>
      </c>
      <c r="O18">
        <v>200010000</v>
      </c>
      <c r="Q18">
        <v>1877480478</v>
      </c>
      <c r="R18">
        <v>1250025000</v>
      </c>
    </row>
    <row r="19" spans="2:18" x14ac:dyDescent="0.25">
      <c r="B19">
        <v>746829</v>
      </c>
      <c r="C19">
        <v>500500</v>
      </c>
      <c r="E19">
        <v>2963295</v>
      </c>
      <c r="F19">
        <v>2001000</v>
      </c>
      <c r="H19">
        <v>6780951</v>
      </c>
      <c r="I19">
        <v>4501500</v>
      </c>
      <c r="K19">
        <v>75733758</v>
      </c>
      <c r="L19">
        <v>50005000</v>
      </c>
      <c r="N19">
        <v>298869345</v>
      </c>
      <c r="O19">
        <v>200010000</v>
      </c>
      <c r="Q19">
        <v>1867750311</v>
      </c>
      <c r="R19">
        <v>1250025000</v>
      </c>
    </row>
    <row r="20" spans="2:18" x14ac:dyDescent="0.25">
      <c r="B20">
        <v>747678</v>
      </c>
      <c r="C20">
        <v>500500</v>
      </c>
      <c r="E20">
        <v>3028983</v>
      </c>
      <c r="F20">
        <v>2001000</v>
      </c>
      <c r="H20">
        <v>6756162</v>
      </c>
      <c r="I20">
        <v>4501500</v>
      </c>
      <c r="K20">
        <v>75016620</v>
      </c>
      <c r="L20">
        <v>50005000</v>
      </c>
      <c r="N20">
        <v>300197229</v>
      </c>
      <c r="O20">
        <v>200010000</v>
      </c>
      <c r="Q20">
        <v>1876064817</v>
      </c>
      <c r="R20">
        <v>1250025000</v>
      </c>
    </row>
    <row r="21" spans="2:18" x14ac:dyDescent="0.25">
      <c r="B21">
        <v>760911</v>
      </c>
      <c r="C21">
        <v>500500</v>
      </c>
      <c r="E21">
        <v>3022809</v>
      </c>
      <c r="F21">
        <v>2001000</v>
      </c>
      <c r="H21">
        <v>6931779</v>
      </c>
      <c r="I21">
        <v>4501500</v>
      </c>
      <c r="K21">
        <v>75296130</v>
      </c>
      <c r="L21">
        <v>50005000</v>
      </c>
      <c r="N21">
        <v>299168910</v>
      </c>
      <c r="O21">
        <v>200010000</v>
      </c>
      <c r="Q21">
        <v>1874884482</v>
      </c>
      <c r="R21">
        <v>1250025000</v>
      </c>
    </row>
    <row r="22" spans="2:18" x14ac:dyDescent="0.25">
      <c r="B22">
        <v>740730</v>
      </c>
      <c r="C22">
        <v>500500</v>
      </c>
      <c r="E22">
        <v>3012123</v>
      </c>
      <c r="F22">
        <v>2001000</v>
      </c>
      <c r="H22">
        <v>6690153</v>
      </c>
      <c r="I22">
        <v>4501500</v>
      </c>
      <c r="K22">
        <v>75454461</v>
      </c>
      <c r="L22">
        <v>50005000</v>
      </c>
      <c r="N22">
        <v>298624557</v>
      </c>
      <c r="O22">
        <v>200010000</v>
      </c>
      <c r="Q22">
        <v>1867216638</v>
      </c>
      <c r="R22">
        <v>1250025000</v>
      </c>
    </row>
    <row r="23" spans="2:18" x14ac:dyDescent="0.25">
      <c r="B23">
        <v>716451</v>
      </c>
      <c r="C23">
        <v>500500</v>
      </c>
      <c r="E23">
        <v>3004977</v>
      </c>
      <c r="F23">
        <v>2001000</v>
      </c>
      <c r="H23">
        <v>6786465</v>
      </c>
      <c r="I23">
        <v>4501500</v>
      </c>
      <c r="K23">
        <v>74806674</v>
      </c>
      <c r="L23">
        <v>50005000</v>
      </c>
      <c r="N23">
        <v>300453324</v>
      </c>
      <c r="O23">
        <v>200010000</v>
      </c>
      <c r="Q23">
        <v>1871639256</v>
      </c>
      <c r="R23">
        <v>1250025000</v>
      </c>
    </row>
    <row r="24" spans="2:18" x14ac:dyDescent="0.25">
      <c r="B24">
        <v>736695</v>
      </c>
      <c r="C24">
        <v>500500</v>
      </c>
      <c r="E24">
        <v>3026043</v>
      </c>
      <c r="F24">
        <v>2001000</v>
      </c>
      <c r="H24">
        <v>6673194</v>
      </c>
      <c r="I24">
        <v>4501500</v>
      </c>
      <c r="K24">
        <v>74690376</v>
      </c>
      <c r="L24">
        <v>50005000</v>
      </c>
      <c r="N24">
        <v>297993117</v>
      </c>
      <c r="O24">
        <v>200010000</v>
      </c>
      <c r="Q24">
        <v>1872052212</v>
      </c>
      <c r="R24">
        <v>1250025000</v>
      </c>
    </row>
    <row r="25" spans="2:18" x14ac:dyDescent="0.25">
      <c r="B25">
        <v>780075</v>
      </c>
      <c r="C25">
        <v>500500</v>
      </c>
      <c r="E25">
        <v>2956707</v>
      </c>
      <c r="F25">
        <v>2001000</v>
      </c>
      <c r="H25">
        <v>6814476</v>
      </c>
      <c r="I25">
        <v>4501500</v>
      </c>
      <c r="K25">
        <v>75144117</v>
      </c>
      <c r="L25">
        <v>50005000</v>
      </c>
      <c r="N25">
        <v>299659680</v>
      </c>
      <c r="O25">
        <v>200010000</v>
      </c>
      <c r="Q25">
        <v>1882163454</v>
      </c>
      <c r="R25">
        <v>1250025000</v>
      </c>
    </row>
    <row r="26" spans="2:18" x14ac:dyDescent="0.25">
      <c r="B26">
        <v>733194</v>
      </c>
      <c r="C26">
        <v>500500</v>
      </c>
      <c r="E26">
        <v>3004575</v>
      </c>
      <c r="F26">
        <v>2001000</v>
      </c>
      <c r="H26">
        <v>6676908</v>
      </c>
      <c r="I26">
        <v>4501500</v>
      </c>
      <c r="K26">
        <v>74650968</v>
      </c>
      <c r="L26">
        <v>50005000</v>
      </c>
      <c r="N26">
        <v>296244621</v>
      </c>
      <c r="O26">
        <v>200010000</v>
      </c>
      <c r="Q26">
        <v>1878636621</v>
      </c>
      <c r="R26">
        <v>1250025000</v>
      </c>
    </row>
    <row r="27" spans="2:18" x14ac:dyDescent="0.25">
      <c r="B27">
        <v>744585</v>
      </c>
      <c r="C27">
        <v>500500</v>
      </c>
      <c r="E27">
        <v>2985582</v>
      </c>
      <c r="F27">
        <v>2001000</v>
      </c>
      <c r="H27">
        <v>6784422</v>
      </c>
      <c r="I27">
        <v>4501500</v>
      </c>
      <c r="K27">
        <v>75421053</v>
      </c>
      <c r="L27">
        <v>50005000</v>
      </c>
      <c r="N27">
        <v>301589703</v>
      </c>
      <c r="O27">
        <v>200010000</v>
      </c>
      <c r="Q27">
        <v>1871395554</v>
      </c>
      <c r="R27">
        <v>1250025000</v>
      </c>
    </row>
    <row r="28" spans="2:18" x14ac:dyDescent="0.25">
      <c r="B28">
        <v>737430</v>
      </c>
      <c r="C28">
        <v>500500</v>
      </c>
      <c r="E28">
        <v>3063615</v>
      </c>
      <c r="F28">
        <v>2001000</v>
      </c>
      <c r="H28">
        <v>6716808</v>
      </c>
      <c r="I28">
        <v>4501500</v>
      </c>
      <c r="K28">
        <v>75028506</v>
      </c>
      <c r="L28">
        <v>50005000</v>
      </c>
      <c r="N28">
        <v>298364964</v>
      </c>
      <c r="O28">
        <v>200010000</v>
      </c>
      <c r="Q28">
        <v>1872734403</v>
      </c>
      <c r="R28">
        <v>1250025000</v>
      </c>
    </row>
    <row r="29" spans="2:18" x14ac:dyDescent="0.25">
      <c r="B29">
        <v>752058</v>
      </c>
      <c r="C29">
        <v>500500</v>
      </c>
      <c r="E29">
        <v>3046419</v>
      </c>
      <c r="F29">
        <v>2001000</v>
      </c>
      <c r="H29">
        <v>6849354</v>
      </c>
      <c r="I29">
        <v>4501500</v>
      </c>
      <c r="K29">
        <v>74568540</v>
      </c>
      <c r="L29">
        <v>50005000</v>
      </c>
      <c r="N29">
        <v>301995951</v>
      </c>
      <c r="O29">
        <v>200010000</v>
      </c>
      <c r="Q29">
        <v>1879715700</v>
      </c>
      <c r="R29">
        <v>1250025000</v>
      </c>
    </row>
    <row r="30" spans="2:18" x14ac:dyDescent="0.25">
      <c r="B30">
        <v>730653</v>
      </c>
      <c r="C30">
        <v>500500</v>
      </c>
      <c r="E30">
        <v>2974725</v>
      </c>
      <c r="F30">
        <v>2001000</v>
      </c>
      <c r="H30">
        <v>6646920</v>
      </c>
      <c r="I30">
        <v>4501500</v>
      </c>
      <c r="K30">
        <v>74985444</v>
      </c>
      <c r="L30">
        <v>50005000</v>
      </c>
      <c r="N30">
        <v>299480007</v>
      </c>
      <c r="O30">
        <v>200010000</v>
      </c>
      <c r="Q30">
        <v>1869262386</v>
      </c>
      <c r="R30">
        <v>1250025000</v>
      </c>
    </row>
    <row r="31" spans="2:18" x14ac:dyDescent="0.25">
      <c r="B31">
        <v>756147</v>
      </c>
      <c r="C31">
        <v>500500</v>
      </c>
      <c r="E31">
        <v>2991510</v>
      </c>
      <c r="F31">
        <v>2001000</v>
      </c>
      <c r="H31">
        <v>6747258</v>
      </c>
      <c r="I31">
        <v>4501500</v>
      </c>
      <c r="K31">
        <v>74837403</v>
      </c>
      <c r="L31">
        <v>50005000</v>
      </c>
      <c r="N31">
        <v>295995648</v>
      </c>
      <c r="O31">
        <v>200010000</v>
      </c>
      <c r="Q31">
        <v>1868366052</v>
      </c>
      <c r="R31">
        <v>1250025000</v>
      </c>
    </row>
    <row r="32" spans="2:18" x14ac:dyDescent="0.25">
      <c r="B32">
        <v>761748</v>
      </c>
      <c r="C32">
        <v>500500</v>
      </c>
      <c r="E32">
        <v>3019650</v>
      </c>
      <c r="F32">
        <v>2001000</v>
      </c>
      <c r="H32">
        <v>6716589</v>
      </c>
      <c r="I32">
        <v>4501500</v>
      </c>
      <c r="K32">
        <v>75636717</v>
      </c>
      <c r="L32">
        <v>50005000</v>
      </c>
      <c r="N32">
        <v>298234845</v>
      </c>
      <c r="O32">
        <v>200010000</v>
      </c>
      <c r="Q32">
        <v>1868778306</v>
      </c>
      <c r="R32">
        <v>1250025000</v>
      </c>
    </row>
    <row r="33" spans="2:18" x14ac:dyDescent="0.25">
      <c r="B33">
        <v>759525</v>
      </c>
      <c r="C33">
        <v>500500</v>
      </c>
      <c r="E33">
        <v>3039621</v>
      </c>
      <c r="F33">
        <v>2001000</v>
      </c>
      <c r="H33">
        <v>6597258</v>
      </c>
      <c r="I33">
        <v>4501500</v>
      </c>
      <c r="K33">
        <v>74648649</v>
      </c>
      <c r="L33">
        <v>50005000</v>
      </c>
      <c r="N33">
        <v>303256269</v>
      </c>
      <c r="O33">
        <v>200010000</v>
      </c>
      <c r="Q33">
        <v>1872782511</v>
      </c>
      <c r="R33">
        <v>1250025000</v>
      </c>
    </row>
    <row r="34" spans="2:18" x14ac:dyDescent="0.25">
      <c r="B34">
        <v>766770</v>
      </c>
      <c r="C34">
        <v>500500</v>
      </c>
      <c r="E34">
        <v>2980044</v>
      </c>
      <c r="F34">
        <v>2001000</v>
      </c>
      <c r="H34">
        <v>6794922</v>
      </c>
      <c r="I34">
        <v>4501500</v>
      </c>
      <c r="K34">
        <v>73758108</v>
      </c>
      <c r="L34">
        <v>50005000</v>
      </c>
      <c r="N34">
        <v>300394998</v>
      </c>
      <c r="O34">
        <v>200010000</v>
      </c>
      <c r="Q34">
        <v>1879120422</v>
      </c>
      <c r="R34">
        <v>1250025000</v>
      </c>
    </row>
    <row r="35" spans="2:18" x14ac:dyDescent="0.25">
      <c r="B35">
        <v>757017</v>
      </c>
      <c r="C35">
        <v>500500</v>
      </c>
      <c r="E35">
        <v>2935233</v>
      </c>
      <c r="F35">
        <v>2001000</v>
      </c>
      <c r="H35">
        <v>6671142</v>
      </c>
      <c r="I35">
        <v>4501500</v>
      </c>
      <c r="K35">
        <v>75253023</v>
      </c>
      <c r="L35">
        <v>50005000</v>
      </c>
      <c r="N35">
        <v>296964366</v>
      </c>
      <c r="O35">
        <v>200010000</v>
      </c>
      <c r="Q35">
        <v>1874956278</v>
      </c>
      <c r="R35">
        <v>1250025000</v>
      </c>
    </row>
    <row r="36" spans="2:18" x14ac:dyDescent="0.25">
      <c r="B36">
        <v>730395</v>
      </c>
      <c r="C36">
        <v>500500</v>
      </c>
      <c r="E36">
        <v>2961957</v>
      </c>
      <c r="F36">
        <v>2001000</v>
      </c>
      <c r="H36">
        <v>6826092</v>
      </c>
      <c r="I36">
        <v>4501500</v>
      </c>
      <c r="K36">
        <v>74261919</v>
      </c>
      <c r="L36">
        <v>50005000</v>
      </c>
      <c r="N36">
        <v>299230761</v>
      </c>
      <c r="O36">
        <v>200010000</v>
      </c>
      <c r="Q36">
        <v>1870588872</v>
      </c>
      <c r="R36">
        <v>1250025000</v>
      </c>
    </row>
    <row r="37" spans="2:18" x14ac:dyDescent="0.25">
      <c r="B37">
        <v>758100</v>
      </c>
      <c r="C37">
        <v>500500</v>
      </c>
      <c r="E37">
        <v>2944626</v>
      </c>
      <c r="F37">
        <v>2001000</v>
      </c>
      <c r="H37">
        <v>6679374</v>
      </c>
      <c r="I37">
        <v>4501500</v>
      </c>
      <c r="K37">
        <v>74621040</v>
      </c>
      <c r="L37">
        <v>50005000</v>
      </c>
      <c r="N37">
        <v>301730034</v>
      </c>
      <c r="O37">
        <v>200010000</v>
      </c>
      <c r="Q37">
        <v>1871881458</v>
      </c>
      <c r="R37">
        <v>1250025000</v>
      </c>
    </row>
    <row r="38" spans="2:18" x14ac:dyDescent="0.25">
      <c r="B38">
        <v>751701</v>
      </c>
      <c r="C38">
        <v>500500</v>
      </c>
      <c r="E38">
        <v>2963958</v>
      </c>
      <c r="F38">
        <v>2001000</v>
      </c>
      <c r="H38">
        <v>6807057</v>
      </c>
      <c r="I38">
        <v>4501500</v>
      </c>
      <c r="K38">
        <v>74995893</v>
      </c>
      <c r="L38">
        <v>50005000</v>
      </c>
      <c r="N38">
        <v>301727427</v>
      </c>
      <c r="O38">
        <v>200010000</v>
      </c>
      <c r="Q38">
        <v>1876262829</v>
      </c>
      <c r="R38">
        <v>1250025000</v>
      </c>
    </row>
    <row r="39" spans="2:18" x14ac:dyDescent="0.25">
      <c r="B39">
        <v>740424</v>
      </c>
      <c r="C39">
        <v>500500</v>
      </c>
      <c r="E39">
        <v>2940687</v>
      </c>
      <c r="F39">
        <v>2001000</v>
      </c>
      <c r="H39">
        <v>6877920</v>
      </c>
      <c r="I39">
        <v>4501500</v>
      </c>
      <c r="K39">
        <v>76126899</v>
      </c>
      <c r="L39">
        <v>50005000</v>
      </c>
      <c r="N39">
        <v>299999436</v>
      </c>
      <c r="O39">
        <v>200010000</v>
      </c>
      <c r="Q39">
        <v>1875303450</v>
      </c>
      <c r="R39">
        <v>1250025000</v>
      </c>
    </row>
    <row r="40" spans="2:18" x14ac:dyDescent="0.25">
      <c r="B40">
        <v>771048</v>
      </c>
      <c r="C40">
        <v>500500</v>
      </c>
      <c r="E40">
        <v>2998470</v>
      </c>
      <c r="F40">
        <v>2001000</v>
      </c>
      <c r="H40">
        <v>6788979</v>
      </c>
      <c r="I40">
        <v>4501500</v>
      </c>
      <c r="K40">
        <v>74448750</v>
      </c>
      <c r="L40">
        <v>50005000</v>
      </c>
      <c r="N40">
        <v>298659072</v>
      </c>
      <c r="O40">
        <v>200010000</v>
      </c>
      <c r="Q40">
        <v>1877896524</v>
      </c>
      <c r="R40">
        <v>1250025000</v>
      </c>
    </row>
    <row r="41" spans="2:18" x14ac:dyDescent="0.25">
      <c r="B41">
        <v>719820</v>
      </c>
      <c r="C41">
        <v>500500</v>
      </c>
      <c r="E41">
        <v>2989446</v>
      </c>
      <c r="F41">
        <v>2001000</v>
      </c>
      <c r="H41">
        <v>6668067</v>
      </c>
      <c r="I41">
        <v>4501500</v>
      </c>
      <c r="K41">
        <v>74738505</v>
      </c>
      <c r="L41">
        <v>50005000</v>
      </c>
      <c r="N41">
        <v>298268538</v>
      </c>
      <c r="O41">
        <v>200010000</v>
      </c>
      <c r="Q41">
        <v>1877395770</v>
      </c>
      <c r="R41">
        <v>1250025000</v>
      </c>
    </row>
    <row r="42" spans="2:18" x14ac:dyDescent="0.25">
      <c r="B42">
        <v>767175</v>
      </c>
      <c r="C42">
        <v>500500</v>
      </c>
      <c r="E42">
        <v>2947452</v>
      </c>
      <c r="F42">
        <v>2001000</v>
      </c>
      <c r="H42">
        <v>6815199</v>
      </c>
      <c r="I42">
        <v>4501500</v>
      </c>
      <c r="K42">
        <v>74601804</v>
      </c>
      <c r="L42">
        <v>50005000</v>
      </c>
      <c r="N42">
        <v>298776558</v>
      </c>
      <c r="O42">
        <v>200010000</v>
      </c>
      <c r="Q42">
        <v>1868055354</v>
      </c>
      <c r="R42">
        <v>1250025000</v>
      </c>
    </row>
    <row r="43" spans="2:18" x14ac:dyDescent="0.25">
      <c r="B43">
        <v>766449</v>
      </c>
      <c r="C43">
        <v>500500</v>
      </c>
      <c r="E43">
        <v>3034020</v>
      </c>
      <c r="F43">
        <v>2001000</v>
      </c>
      <c r="H43">
        <v>6716079</v>
      </c>
      <c r="I43">
        <v>4501500</v>
      </c>
      <c r="K43">
        <v>75308385</v>
      </c>
      <c r="L43">
        <v>50005000</v>
      </c>
      <c r="N43">
        <v>298966626</v>
      </c>
      <c r="O43">
        <v>200010000</v>
      </c>
      <c r="Q43">
        <v>1872336762</v>
      </c>
      <c r="R43">
        <v>1250025000</v>
      </c>
    </row>
    <row r="44" spans="2:18" x14ac:dyDescent="0.25">
      <c r="B44">
        <v>750438</v>
      </c>
      <c r="C44">
        <v>500500</v>
      </c>
      <c r="E44">
        <v>2936628</v>
      </c>
      <c r="F44">
        <v>2001000</v>
      </c>
      <c r="H44">
        <v>6771555</v>
      </c>
      <c r="I44">
        <v>4501500</v>
      </c>
      <c r="K44">
        <v>75236559</v>
      </c>
      <c r="L44">
        <v>50005000</v>
      </c>
      <c r="N44">
        <v>298908621</v>
      </c>
      <c r="O44">
        <v>200010000</v>
      </c>
      <c r="Q44">
        <v>1880836488</v>
      </c>
      <c r="R44">
        <v>1250025000</v>
      </c>
    </row>
    <row r="45" spans="2:18" x14ac:dyDescent="0.25">
      <c r="B45">
        <v>739761</v>
      </c>
      <c r="C45">
        <v>500500</v>
      </c>
      <c r="E45">
        <v>3065760</v>
      </c>
      <c r="F45">
        <v>2001000</v>
      </c>
      <c r="H45">
        <v>6799944</v>
      </c>
      <c r="I45">
        <v>4501500</v>
      </c>
      <c r="K45">
        <v>74953872</v>
      </c>
      <c r="L45">
        <v>50005000</v>
      </c>
      <c r="N45">
        <v>297765387</v>
      </c>
      <c r="O45">
        <v>200010000</v>
      </c>
      <c r="Q45">
        <v>1881097137</v>
      </c>
      <c r="R45">
        <v>1250025000</v>
      </c>
    </row>
    <row r="46" spans="2:18" x14ac:dyDescent="0.25">
      <c r="B46">
        <v>743019</v>
      </c>
      <c r="C46">
        <v>500500</v>
      </c>
      <c r="E46">
        <v>3010812</v>
      </c>
      <c r="F46">
        <v>2001000</v>
      </c>
      <c r="H46">
        <v>6815511</v>
      </c>
      <c r="I46">
        <v>4501500</v>
      </c>
      <c r="K46">
        <v>75075198</v>
      </c>
      <c r="L46">
        <v>50005000</v>
      </c>
      <c r="N46">
        <v>300768807</v>
      </c>
      <c r="O46">
        <v>200010000</v>
      </c>
      <c r="Q46">
        <v>1859180259</v>
      </c>
      <c r="R46">
        <v>1250025000</v>
      </c>
    </row>
    <row r="47" spans="2:18" x14ac:dyDescent="0.25">
      <c r="B47">
        <v>723468</v>
      </c>
      <c r="C47">
        <v>500500</v>
      </c>
      <c r="E47">
        <v>2995470</v>
      </c>
      <c r="F47">
        <v>2001000</v>
      </c>
      <c r="H47">
        <v>6650178</v>
      </c>
      <c r="I47">
        <v>4501500</v>
      </c>
      <c r="K47">
        <v>75209124</v>
      </c>
      <c r="L47">
        <v>50005000</v>
      </c>
      <c r="N47">
        <v>299681034</v>
      </c>
      <c r="O47">
        <v>200010000</v>
      </c>
      <c r="Q47">
        <v>1872643260</v>
      </c>
      <c r="R47">
        <v>1250025000</v>
      </c>
    </row>
    <row r="48" spans="2:18" x14ac:dyDescent="0.25">
      <c r="B48">
        <v>744831</v>
      </c>
      <c r="C48">
        <v>500500</v>
      </c>
      <c r="E48">
        <v>3002376</v>
      </c>
      <c r="F48">
        <v>2001000</v>
      </c>
      <c r="H48">
        <v>6574902</v>
      </c>
      <c r="I48">
        <v>4501500</v>
      </c>
      <c r="K48">
        <v>75090000</v>
      </c>
      <c r="L48">
        <v>50005000</v>
      </c>
      <c r="N48">
        <v>300462897</v>
      </c>
      <c r="O48">
        <v>200010000</v>
      </c>
      <c r="Q48">
        <v>1887965871</v>
      </c>
      <c r="R48">
        <v>1250025000</v>
      </c>
    </row>
    <row r="49" spans="2:18" x14ac:dyDescent="0.25">
      <c r="B49">
        <v>788523</v>
      </c>
      <c r="C49">
        <v>500500</v>
      </c>
      <c r="E49">
        <v>2988858</v>
      </c>
      <c r="F49">
        <v>2001000</v>
      </c>
      <c r="H49">
        <v>6698928</v>
      </c>
      <c r="I49">
        <v>4501500</v>
      </c>
      <c r="K49">
        <v>75198216</v>
      </c>
      <c r="L49">
        <v>50005000</v>
      </c>
      <c r="N49">
        <v>301735143</v>
      </c>
      <c r="O49">
        <v>200010000</v>
      </c>
      <c r="Q49">
        <v>1866430086</v>
      </c>
      <c r="R49">
        <v>1250025000</v>
      </c>
    </row>
    <row r="50" spans="2:18" x14ac:dyDescent="0.25">
      <c r="B50">
        <v>751863</v>
      </c>
      <c r="C50">
        <v>500500</v>
      </c>
      <c r="E50">
        <v>3050565</v>
      </c>
      <c r="F50">
        <v>2001000</v>
      </c>
      <c r="H50">
        <v>6589707</v>
      </c>
      <c r="I50">
        <v>4501500</v>
      </c>
      <c r="K50">
        <v>75077781</v>
      </c>
      <c r="L50">
        <v>50005000</v>
      </c>
      <c r="N50">
        <v>299094876</v>
      </c>
      <c r="O50">
        <v>200010000</v>
      </c>
      <c r="Q50">
        <v>1873755627</v>
      </c>
      <c r="R50">
        <v>1250025000</v>
      </c>
    </row>
    <row r="51" spans="2:18" x14ac:dyDescent="0.25">
      <c r="B51">
        <v>761997</v>
      </c>
      <c r="C51">
        <v>500500</v>
      </c>
      <c r="E51">
        <v>2978091</v>
      </c>
      <c r="F51">
        <v>2001000</v>
      </c>
      <c r="H51">
        <v>6655983</v>
      </c>
      <c r="I51">
        <v>4501500</v>
      </c>
      <c r="K51">
        <v>75831912</v>
      </c>
      <c r="L51">
        <v>50005000</v>
      </c>
      <c r="N51">
        <v>300091107</v>
      </c>
      <c r="O51">
        <v>200010000</v>
      </c>
      <c r="Q51">
        <v>1866311880</v>
      </c>
      <c r="R51">
        <v>1250025000</v>
      </c>
    </row>
    <row r="52" spans="2:18" x14ac:dyDescent="0.25">
      <c r="B52">
        <v>742884</v>
      </c>
      <c r="C52">
        <v>500500</v>
      </c>
      <c r="E52">
        <v>2904111</v>
      </c>
      <c r="F52">
        <v>2001000</v>
      </c>
      <c r="H52">
        <v>6766641</v>
      </c>
      <c r="I52">
        <v>4501500</v>
      </c>
      <c r="K52">
        <v>74548716</v>
      </c>
      <c r="L52">
        <v>50005000</v>
      </c>
      <c r="N52">
        <v>301016403</v>
      </c>
      <c r="O52">
        <v>200010000</v>
      </c>
      <c r="Q52">
        <v>1874419173</v>
      </c>
      <c r="R52">
        <v>1250025000</v>
      </c>
    </row>
    <row r="53" spans="2:18" x14ac:dyDescent="0.25">
      <c r="B53">
        <v>710217</v>
      </c>
      <c r="C53">
        <v>500500</v>
      </c>
      <c r="E53">
        <v>1030823</v>
      </c>
      <c r="F53">
        <v>1028824</v>
      </c>
      <c r="H53">
        <v>6791331</v>
      </c>
      <c r="I53">
        <v>4501500</v>
      </c>
      <c r="K53">
        <v>74939994</v>
      </c>
      <c r="L53">
        <v>50005000</v>
      </c>
      <c r="N53">
        <v>299234946</v>
      </c>
      <c r="O53">
        <v>200010000</v>
      </c>
      <c r="Q53">
        <v>1863334806</v>
      </c>
      <c r="R53">
        <v>1250025000</v>
      </c>
    </row>
    <row r="54" spans="2:18" x14ac:dyDescent="0.25">
      <c r="B54">
        <v>769164</v>
      </c>
      <c r="C54">
        <v>500500</v>
      </c>
      <c r="E54">
        <v>1027750</v>
      </c>
      <c r="F54">
        <v>1025751</v>
      </c>
      <c r="H54">
        <v>6784947</v>
      </c>
      <c r="I54">
        <v>4501500</v>
      </c>
      <c r="K54">
        <v>74775324</v>
      </c>
      <c r="L54">
        <v>50005000</v>
      </c>
      <c r="N54">
        <v>301687860</v>
      </c>
      <c r="O54">
        <v>200010000</v>
      </c>
      <c r="Q54">
        <v>1879333008</v>
      </c>
      <c r="R54">
        <v>1250025000</v>
      </c>
    </row>
    <row r="55" spans="2:18" x14ac:dyDescent="0.25">
      <c r="B55">
        <v>752529</v>
      </c>
      <c r="C55">
        <v>500500</v>
      </c>
      <c r="E55">
        <v>1018481</v>
      </c>
      <c r="F55">
        <v>1016482</v>
      </c>
      <c r="H55">
        <v>6736560</v>
      </c>
      <c r="I55">
        <v>4501500</v>
      </c>
      <c r="K55">
        <v>74772195</v>
      </c>
      <c r="L55">
        <v>50005000</v>
      </c>
      <c r="N55">
        <v>297030507</v>
      </c>
      <c r="O55">
        <v>200010000</v>
      </c>
      <c r="Q55">
        <v>1877214441</v>
      </c>
      <c r="R55">
        <v>1250025000</v>
      </c>
    </row>
    <row r="56" spans="2:18" x14ac:dyDescent="0.25">
      <c r="B56">
        <v>777276</v>
      </c>
      <c r="C56">
        <v>500500</v>
      </c>
      <c r="E56">
        <v>1006070</v>
      </c>
      <c r="F56">
        <v>1004071</v>
      </c>
      <c r="H56">
        <v>6736428</v>
      </c>
      <c r="I56">
        <v>4501500</v>
      </c>
      <c r="K56">
        <v>75368301</v>
      </c>
      <c r="L56">
        <v>50005000</v>
      </c>
      <c r="N56">
        <v>300926910</v>
      </c>
      <c r="O56">
        <v>200010000</v>
      </c>
      <c r="Q56">
        <v>1880641860</v>
      </c>
      <c r="R56">
        <v>1250025000</v>
      </c>
    </row>
    <row r="57" spans="2:18" x14ac:dyDescent="0.25">
      <c r="B57">
        <v>765852</v>
      </c>
      <c r="C57">
        <v>500500</v>
      </c>
      <c r="E57">
        <v>1006290</v>
      </c>
      <c r="F57">
        <v>1004291</v>
      </c>
      <c r="H57">
        <v>6869817</v>
      </c>
      <c r="I57">
        <v>4501500</v>
      </c>
      <c r="K57">
        <v>74468286</v>
      </c>
      <c r="L57">
        <v>50005000</v>
      </c>
      <c r="N57">
        <v>301147548</v>
      </c>
      <c r="O57">
        <v>200010000</v>
      </c>
      <c r="Q57">
        <v>1867342371</v>
      </c>
      <c r="R57">
        <v>1250025000</v>
      </c>
    </row>
    <row r="58" spans="2:18" x14ac:dyDescent="0.25">
      <c r="B58">
        <v>751059</v>
      </c>
      <c r="C58">
        <v>500500</v>
      </c>
      <c r="E58">
        <v>996938</v>
      </c>
      <c r="F58">
        <v>994939</v>
      </c>
      <c r="H58">
        <v>6733056</v>
      </c>
      <c r="I58">
        <v>4501500</v>
      </c>
      <c r="K58">
        <v>75236004</v>
      </c>
      <c r="L58">
        <v>50005000</v>
      </c>
      <c r="N58">
        <v>300205257</v>
      </c>
      <c r="O58">
        <v>200010000</v>
      </c>
      <c r="Q58">
        <v>1877545323</v>
      </c>
      <c r="R58">
        <v>1250025000</v>
      </c>
    </row>
    <row r="59" spans="2:18" x14ac:dyDescent="0.25">
      <c r="B59">
        <v>733275</v>
      </c>
      <c r="C59">
        <v>500500</v>
      </c>
      <c r="E59">
        <v>969746</v>
      </c>
      <c r="F59">
        <v>967747</v>
      </c>
      <c r="H59">
        <v>6644694</v>
      </c>
      <c r="I59">
        <v>4501500</v>
      </c>
      <c r="K59">
        <v>74972631</v>
      </c>
      <c r="L59">
        <v>50005000</v>
      </c>
      <c r="N59">
        <v>297676812</v>
      </c>
      <c r="O59">
        <v>200010000</v>
      </c>
      <c r="Q59">
        <v>1881493992</v>
      </c>
      <c r="R59">
        <v>1250025000</v>
      </c>
    </row>
    <row r="60" spans="2:18" x14ac:dyDescent="0.25">
      <c r="B60">
        <v>253340</v>
      </c>
      <c r="C60">
        <v>252341</v>
      </c>
      <c r="E60">
        <v>988662</v>
      </c>
      <c r="F60">
        <v>986663</v>
      </c>
      <c r="H60">
        <v>6681405</v>
      </c>
      <c r="I60">
        <v>4501500</v>
      </c>
      <c r="K60">
        <v>74935707</v>
      </c>
      <c r="L60">
        <v>50005000</v>
      </c>
      <c r="N60">
        <v>300637893</v>
      </c>
      <c r="O60">
        <v>200010000</v>
      </c>
      <c r="Q60">
        <v>1859579817</v>
      </c>
      <c r="R60">
        <v>1250025000</v>
      </c>
    </row>
    <row r="61" spans="2:18" x14ac:dyDescent="0.25">
      <c r="B61">
        <v>256941</v>
      </c>
      <c r="C61">
        <v>255942</v>
      </c>
      <c r="E61">
        <v>1003236</v>
      </c>
      <c r="F61">
        <v>1001237</v>
      </c>
      <c r="H61">
        <v>6675129</v>
      </c>
      <c r="I61">
        <v>4501500</v>
      </c>
      <c r="K61">
        <v>75339195</v>
      </c>
      <c r="L61">
        <v>50005000</v>
      </c>
      <c r="N61">
        <v>298787583</v>
      </c>
      <c r="O61">
        <v>200010000</v>
      </c>
      <c r="Q61">
        <v>1870142889</v>
      </c>
      <c r="R61">
        <v>1250025000</v>
      </c>
    </row>
    <row r="62" spans="2:18" x14ac:dyDescent="0.25">
      <c r="B62">
        <v>248808</v>
      </c>
      <c r="C62">
        <v>247809</v>
      </c>
      <c r="E62">
        <v>983400</v>
      </c>
      <c r="F62">
        <v>981401</v>
      </c>
      <c r="H62">
        <v>6663738</v>
      </c>
      <c r="I62">
        <v>4501500</v>
      </c>
      <c r="K62">
        <v>25005341</v>
      </c>
      <c r="L62">
        <v>24995342</v>
      </c>
      <c r="N62">
        <v>298936368</v>
      </c>
      <c r="O62">
        <v>200010000</v>
      </c>
      <c r="Q62">
        <v>1873804947</v>
      </c>
      <c r="R62">
        <v>1250025000</v>
      </c>
    </row>
    <row r="63" spans="2:18" x14ac:dyDescent="0.25">
      <c r="B63">
        <v>247532</v>
      </c>
      <c r="C63">
        <v>246533</v>
      </c>
      <c r="E63">
        <v>967487</v>
      </c>
      <c r="F63">
        <v>965488</v>
      </c>
      <c r="H63">
        <v>6633873</v>
      </c>
      <c r="I63">
        <v>4501500</v>
      </c>
      <c r="K63">
        <v>25305666</v>
      </c>
      <c r="L63">
        <v>25295667</v>
      </c>
      <c r="N63">
        <v>299608758</v>
      </c>
      <c r="O63">
        <v>200010000</v>
      </c>
      <c r="Q63">
        <v>1873608018</v>
      </c>
      <c r="R63">
        <v>1250025000</v>
      </c>
    </row>
    <row r="64" spans="2:18" x14ac:dyDescent="0.25">
      <c r="B64">
        <v>255786</v>
      </c>
      <c r="C64">
        <v>254787</v>
      </c>
      <c r="E64">
        <v>1000642</v>
      </c>
      <c r="F64">
        <v>998643</v>
      </c>
      <c r="H64">
        <v>6641904</v>
      </c>
      <c r="I64">
        <v>4501500</v>
      </c>
      <c r="K64">
        <v>24808066</v>
      </c>
      <c r="L64">
        <v>24798067</v>
      </c>
      <c r="N64">
        <v>297939507</v>
      </c>
      <c r="O64">
        <v>200010000</v>
      </c>
      <c r="Q64">
        <v>1865996820</v>
      </c>
      <c r="R64">
        <v>1250025000</v>
      </c>
    </row>
    <row r="65" spans="2:18" x14ac:dyDescent="0.25">
      <c r="B65">
        <v>236155</v>
      </c>
      <c r="C65">
        <v>235156</v>
      </c>
      <c r="E65">
        <v>994481</v>
      </c>
      <c r="F65">
        <v>992482</v>
      </c>
      <c r="H65">
        <v>6673938</v>
      </c>
      <c r="I65">
        <v>4501500</v>
      </c>
      <c r="K65">
        <v>25028814</v>
      </c>
      <c r="L65">
        <v>25018815</v>
      </c>
      <c r="N65">
        <v>301059546</v>
      </c>
      <c r="O65">
        <v>200010000</v>
      </c>
      <c r="Q65">
        <v>1877818557</v>
      </c>
      <c r="R65">
        <v>1250025000</v>
      </c>
    </row>
    <row r="66" spans="2:18" x14ac:dyDescent="0.25">
      <c r="B66">
        <v>252998</v>
      </c>
      <c r="C66">
        <v>251999</v>
      </c>
      <c r="E66">
        <v>1028009</v>
      </c>
      <c r="F66">
        <v>1026010</v>
      </c>
      <c r="H66">
        <v>6598695</v>
      </c>
      <c r="I66">
        <v>4501500</v>
      </c>
      <c r="K66">
        <v>24563051</v>
      </c>
      <c r="L66">
        <v>24553052</v>
      </c>
      <c r="N66">
        <v>300953010</v>
      </c>
      <c r="O66">
        <v>200010000</v>
      </c>
      <c r="Q66">
        <v>1869620106</v>
      </c>
      <c r="R66">
        <v>1250025000</v>
      </c>
    </row>
    <row r="67" spans="2:18" x14ac:dyDescent="0.25">
      <c r="B67">
        <v>259957</v>
      </c>
      <c r="C67">
        <v>258958</v>
      </c>
      <c r="E67">
        <v>1002320</v>
      </c>
      <c r="F67">
        <v>1000321</v>
      </c>
      <c r="H67">
        <v>6859977</v>
      </c>
      <c r="I67">
        <v>4501500</v>
      </c>
      <c r="K67">
        <v>25213996</v>
      </c>
      <c r="L67">
        <v>25203997</v>
      </c>
      <c r="N67">
        <v>299178996</v>
      </c>
      <c r="O67">
        <v>200010000</v>
      </c>
      <c r="Q67">
        <v>1870704351</v>
      </c>
      <c r="R67">
        <v>1250025000</v>
      </c>
    </row>
    <row r="68" spans="2:18" x14ac:dyDescent="0.25">
      <c r="B68">
        <v>250319</v>
      </c>
      <c r="C68">
        <v>249320</v>
      </c>
      <c r="E68">
        <v>975871</v>
      </c>
      <c r="F68">
        <v>973872</v>
      </c>
      <c r="H68">
        <v>6857445</v>
      </c>
      <c r="I68">
        <v>4501500</v>
      </c>
      <c r="K68">
        <v>24958949</v>
      </c>
      <c r="L68">
        <v>24948950</v>
      </c>
      <c r="N68">
        <v>297651762</v>
      </c>
      <c r="O68">
        <v>200010000</v>
      </c>
      <c r="Q68">
        <v>1877447817</v>
      </c>
      <c r="R68">
        <v>1250025000</v>
      </c>
    </row>
    <row r="69" spans="2:18" x14ac:dyDescent="0.25">
      <c r="B69">
        <v>257443</v>
      </c>
      <c r="C69">
        <v>256444</v>
      </c>
      <c r="E69">
        <v>1000592</v>
      </c>
      <c r="F69">
        <v>998593</v>
      </c>
      <c r="H69">
        <v>6807597</v>
      </c>
      <c r="I69">
        <v>4501500</v>
      </c>
      <c r="K69">
        <v>24757405</v>
      </c>
      <c r="L69">
        <v>24747406</v>
      </c>
      <c r="N69">
        <v>299396613</v>
      </c>
      <c r="O69">
        <v>200010000</v>
      </c>
      <c r="Q69">
        <v>1875324444</v>
      </c>
      <c r="R69">
        <v>1250025000</v>
      </c>
    </row>
    <row r="70" spans="2:18" x14ac:dyDescent="0.25">
      <c r="B70">
        <v>258839</v>
      </c>
      <c r="C70">
        <v>257840</v>
      </c>
      <c r="E70">
        <v>988154</v>
      </c>
      <c r="F70">
        <v>986155</v>
      </c>
      <c r="H70">
        <v>6744186</v>
      </c>
      <c r="I70">
        <v>4501500</v>
      </c>
      <c r="K70">
        <v>25406624</v>
      </c>
      <c r="L70">
        <v>25396625</v>
      </c>
      <c r="N70">
        <v>301452369</v>
      </c>
      <c r="O70">
        <v>200010000</v>
      </c>
      <c r="Q70">
        <v>1877178921</v>
      </c>
      <c r="R70">
        <v>1250025000</v>
      </c>
    </row>
    <row r="71" spans="2:18" x14ac:dyDescent="0.25">
      <c r="B71">
        <v>243893</v>
      </c>
      <c r="C71">
        <v>242894</v>
      </c>
      <c r="E71">
        <v>1021765</v>
      </c>
      <c r="F71">
        <v>1019766</v>
      </c>
      <c r="H71">
        <v>6720978</v>
      </c>
      <c r="I71">
        <v>4501500</v>
      </c>
      <c r="K71">
        <v>25145374</v>
      </c>
      <c r="L71">
        <v>25135375</v>
      </c>
      <c r="N71">
        <v>300222792</v>
      </c>
      <c r="O71">
        <v>200010000</v>
      </c>
      <c r="Q71">
        <v>1874303844</v>
      </c>
      <c r="R71">
        <v>1250025000</v>
      </c>
    </row>
    <row r="72" spans="2:18" x14ac:dyDescent="0.25">
      <c r="B72">
        <v>257159</v>
      </c>
      <c r="C72">
        <v>256160</v>
      </c>
      <c r="E72">
        <v>991391</v>
      </c>
      <c r="F72">
        <v>989392</v>
      </c>
      <c r="H72">
        <v>6780132</v>
      </c>
      <c r="I72">
        <v>4501500</v>
      </c>
      <c r="K72">
        <v>25024641</v>
      </c>
      <c r="L72">
        <v>25014642</v>
      </c>
      <c r="N72">
        <v>299875434</v>
      </c>
      <c r="O72">
        <v>200010000</v>
      </c>
      <c r="Q72">
        <v>1874664177</v>
      </c>
      <c r="R72">
        <v>1250025000</v>
      </c>
    </row>
    <row r="73" spans="2:18" x14ac:dyDescent="0.25">
      <c r="B73">
        <v>254823</v>
      </c>
      <c r="C73">
        <v>253824</v>
      </c>
      <c r="E73">
        <v>1011729</v>
      </c>
      <c r="F73">
        <v>1009730</v>
      </c>
      <c r="H73">
        <v>6678093</v>
      </c>
      <c r="I73">
        <v>4501500</v>
      </c>
      <c r="K73">
        <v>24944375</v>
      </c>
      <c r="L73">
        <v>24934376</v>
      </c>
      <c r="N73">
        <v>298012686</v>
      </c>
      <c r="O73">
        <v>200010000</v>
      </c>
      <c r="Q73">
        <v>1879891434</v>
      </c>
      <c r="R73">
        <v>1250025000</v>
      </c>
    </row>
    <row r="74" spans="2:18" x14ac:dyDescent="0.25">
      <c r="B74">
        <v>247842</v>
      </c>
      <c r="C74">
        <v>246843</v>
      </c>
      <c r="E74">
        <v>1048460</v>
      </c>
      <c r="F74">
        <v>1046461</v>
      </c>
      <c r="H74">
        <v>6532560</v>
      </c>
      <c r="I74">
        <v>4501500</v>
      </c>
      <c r="K74">
        <v>25062658</v>
      </c>
      <c r="L74">
        <v>25052659</v>
      </c>
      <c r="N74">
        <v>300312600</v>
      </c>
      <c r="O74">
        <v>200010000</v>
      </c>
      <c r="Q74">
        <v>1874876715</v>
      </c>
      <c r="R74">
        <v>1250025000</v>
      </c>
    </row>
    <row r="75" spans="2:18" x14ac:dyDescent="0.25">
      <c r="B75">
        <v>256505</v>
      </c>
      <c r="C75">
        <v>255506</v>
      </c>
      <c r="E75">
        <v>1002857</v>
      </c>
      <c r="F75">
        <v>1000858</v>
      </c>
      <c r="H75">
        <v>6616092</v>
      </c>
      <c r="I75">
        <v>4501500</v>
      </c>
      <c r="K75">
        <v>25445460</v>
      </c>
      <c r="L75">
        <v>25435461</v>
      </c>
      <c r="N75">
        <v>294929790</v>
      </c>
      <c r="O75">
        <v>200010000</v>
      </c>
      <c r="Q75">
        <v>1878105321</v>
      </c>
      <c r="R75">
        <v>1250025000</v>
      </c>
    </row>
    <row r="76" spans="2:18" x14ac:dyDescent="0.25">
      <c r="B76">
        <v>242112</v>
      </c>
      <c r="C76">
        <v>241113</v>
      </c>
      <c r="E76">
        <v>978901</v>
      </c>
      <c r="F76">
        <v>976902</v>
      </c>
      <c r="H76">
        <v>6768642</v>
      </c>
      <c r="I76">
        <v>4501500</v>
      </c>
      <c r="K76">
        <v>24700661</v>
      </c>
      <c r="L76">
        <v>24690662</v>
      </c>
      <c r="N76">
        <v>298281195</v>
      </c>
      <c r="O76">
        <v>200010000</v>
      </c>
      <c r="Q76">
        <v>1878397725</v>
      </c>
      <c r="R76">
        <v>1250025000</v>
      </c>
    </row>
    <row r="77" spans="2:18" x14ac:dyDescent="0.25">
      <c r="B77">
        <v>252829</v>
      </c>
      <c r="C77">
        <v>251830</v>
      </c>
      <c r="E77">
        <v>1003820</v>
      </c>
      <c r="F77">
        <v>1001821</v>
      </c>
      <c r="H77">
        <v>6810708</v>
      </c>
      <c r="I77">
        <v>4501500</v>
      </c>
      <c r="K77">
        <v>24759552</v>
      </c>
      <c r="L77">
        <v>24749553</v>
      </c>
      <c r="N77">
        <v>298782000</v>
      </c>
      <c r="O77">
        <v>200010000</v>
      </c>
      <c r="Q77">
        <v>1871995881</v>
      </c>
      <c r="R77">
        <v>1250025000</v>
      </c>
    </row>
    <row r="78" spans="2:18" x14ac:dyDescent="0.25">
      <c r="B78">
        <v>243404</v>
      </c>
      <c r="C78">
        <v>242405</v>
      </c>
      <c r="E78">
        <v>1003319</v>
      </c>
      <c r="F78">
        <v>1001320</v>
      </c>
      <c r="H78">
        <v>6590193</v>
      </c>
      <c r="I78">
        <v>4501500</v>
      </c>
      <c r="K78">
        <v>25245829</v>
      </c>
      <c r="L78">
        <v>25235830</v>
      </c>
      <c r="N78">
        <v>300026646</v>
      </c>
      <c r="O78">
        <v>200010000</v>
      </c>
      <c r="Q78">
        <v>1879333389</v>
      </c>
      <c r="R78">
        <v>1250025000</v>
      </c>
    </row>
    <row r="79" spans="2:18" x14ac:dyDescent="0.25">
      <c r="B79">
        <v>250560</v>
      </c>
      <c r="C79">
        <v>249561</v>
      </c>
      <c r="E79">
        <v>998413</v>
      </c>
      <c r="F79">
        <v>996414</v>
      </c>
      <c r="H79">
        <v>6881301</v>
      </c>
      <c r="I79">
        <v>4501500</v>
      </c>
      <c r="K79">
        <v>25217604</v>
      </c>
      <c r="L79">
        <v>25207605</v>
      </c>
      <c r="N79">
        <v>299473242</v>
      </c>
      <c r="O79">
        <v>200010000</v>
      </c>
      <c r="Q79">
        <v>1880342571</v>
      </c>
      <c r="R79">
        <v>1250025000</v>
      </c>
    </row>
    <row r="80" spans="2:18" x14ac:dyDescent="0.25">
      <c r="B80">
        <v>255599</v>
      </c>
      <c r="C80">
        <v>254600</v>
      </c>
      <c r="E80">
        <v>999889</v>
      </c>
      <c r="F80">
        <v>997890</v>
      </c>
      <c r="H80">
        <v>6681750</v>
      </c>
      <c r="I80">
        <v>4501500</v>
      </c>
      <c r="K80">
        <v>25259922</v>
      </c>
      <c r="L80">
        <v>25249923</v>
      </c>
      <c r="N80">
        <v>301471530</v>
      </c>
      <c r="O80">
        <v>200010000</v>
      </c>
      <c r="Q80">
        <v>1868147925</v>
      </c>
      <c r="R80">
        <v>1250025000</v>
      </c>
    </row>
    <row r="81" spans="2:18" x14ac:dyDescent="0.25">
      <c r="B81">
        <v>258518</v>
      </c>
      <c r="C81">
        <v>257519</v>
      </c>
      <c r="E81">
        <v>1030540</v>
      </c>
      <c r="F81">
        <v>1028541</v>
      </c>
      <c r="H81">
        <v>6645099</v>
      </c>
      <c r="I81">
        <v>4501500</v>
      </c>
      <c r="K81">
        <v>25136983</v>
      </c>
      <c r="L81">
        <v>25126984</v>
      </c>
      <c r="N81">
        <v>301331829</v>
      </c>
      <c r="O81">
        <v>200010000</v>
      </c>
      <c r="Q81">
        <v>1867505979</v>
      </c>
      <c r="R81">
        <v>1250025000</v>
      </c>
    </row>
    <row r="82" spans="2:18" x14ac:dyDescent="0.25">
      <c r="B82">
        <v>239803</v>
      </c>
      <c r="C82">
        <v>238804</v>
      </c>
      <c r="E82">
        <v>1004097</v>
      </c>
      <c r="F82">
        <v>1002098</v>
      </c>
      <c r="H82">
        <v>6693144</v>
      </c>
      <c r="I82">
        <v>4501500</v>
      </c>
      <c r="K82">
        <v>25071867</v>
      </c>
      <c r="L82">
        <v>25061868</v>
      </c>
      <c r="N82">
        <v>298381803</v>
      </c>
      <c r="O82">
        <v>200010000</v>
      </c>
      <c r="Q82">
        <v>1870980462</v>
      </c>
      <c r="R82">
        <v>1250025000</v>
      </c>
    </row>
    <row r="83" spans="2:18" x14ac:dyDescent="0.25">
      <c r="B83">
        <v>252730</v>
      </c>
      <c r="C83">
        <v>251731</v>
      </c>
      <c r="E83">
        <v>982324</v>
      </c>
      <c r="F83">
        <v>980325</v>
      </c>
      <c r="H83">
        <v>6811254</v>
      </c>
      <c r="I83">
        <v>4501500</v>
      </c>
      <c r="K83">
        <v>24915932</v>
      </c>
      <c r="L83">
        <v>24905933</v>
      </c>
      <c r="N83">
        <v>300689652</v>
      </c>
      <c r="O83">
        <v>200010000</v>
      </c>
      <c r="Q83">
        <v>1872754557</v>
      </c>
      <c r="R83">
        <v>1250025000</v>
      </c>
    </row>
    <row r="84" spans="2:18" x14ac:dyDescent="0.25">
      <c r="B84">
        <v>249097</v>
      </c>
      <c r="C84">
        <v>248098</v>
      </c>
      <c r="E84">
        <v>998071</v>
      </c>
      <c r="F84">
        <v>996072</v>
      </c>
      <c r="H84">
        <v>6679857</v>
      </c>
      <c r="I84">
        <v>4501500</v>
      </c>
      <c r="K84">
        <v>24817263</v>
      </c>
      <c r="L84">
        <v>24807264</v>
      </c>
      <c r="N84">
        <v>298667604</v>
      </c>
      <c r="O84">
        <v>200010000</v>
      </c>
      <c r="Q84">
        <v>1871753097</v>
      </c>
      <c r="R84">
        <v>1250025000</v>
      </c>
    </row>
    <row r="85" spans="2:18" x14ac:dyDescent="0.25">
      <c r="B85">
        <v>258035</v>
      </c>
      <c r="C85">
        <v>257036</v>
      </c>
      <c r="E85">
        <v>994961</v>
      </c>
      <c r="F85">
        <v>992962</v>
      </c>
      <c r="H85">
        <v>6835539</v>
      </c>
      <c r="I85">
        <v>4501500</v>
      </c>
      <c r="K85">
        <v>25120906</v>
      </c>
      <c r="L85">
        <v>25110907</v>
      </c>
      <c r="N85">
        <v>298791177</v>
      </c>
      <c r="O85">
        <v>200010000</v>
      </c>
      <c r="Q85">
        <v>1868936886</v>
      </c>
      <c r="R85">
        <v>1250025000</v>
      </c>
    </row>
    <row r="86" spans="2:18" x14ac:dyDescent="0.25">
      <c r="B86">
        <v>251672</v>
      </c>
      <c r="C86">
        <v>250673</v>
      </c>
      <c r="E86">
        <v>991175</v>
      </c>
      <c r="F86">
        <v>989176</v>
      </c>
      <c r="H86">
        <v>6626547</v>
      </c>
      <c r="I86">
        <v>4501500</v>
      </c>
      <c r="K86">
        <v>25041708</v>
      </c>
      <c r="L86">
        <v>25031709</v>
      </c>
      <c r="N86">
        <v>300388467</v>
      </c>
      <c r="O86">
        <v>200010000</v>
      </c>
      <c r="Q86">
        <v>1874951670</v>
      </c>
      <c r="R86">
        <v>1250025000</v>
      </c>
    </row>
    <row r="87" spans="2:18" x14ac:dyDescent="0.25">
      <c r="B87">
        <v>256351</v>
      </c>
      <c r="C87">
        <v>255352</v>
      </c>
      <c r="E87">
        <v>976404</v>
      </c>
      <c r="F87">
        <v>974405</v>
      </c>
      <c r="H87">
        <v>6857976</v>
      </c>
      <c r="I87">
        <v>4501500</v>
      </c>
      <c r="K87">
        <v>24925694</v>
      </c>
      <c r="L87">
        <v>24915695</v>
      </c>
      <c r="N87">
        <v>299086305</v>
      </c>
      <c r="O87">
        <v>200010000</v>
      </c>
      <c r="Q87">
        <v>1869922719</v>
      </c>
      <c r="R87">
        <v>1250025000</v>
      </c>
    </row>
    <row r="88" spans="2:18" x14ac:dyDescent="0.25">
      <c r="B88">
        <v>249108</v>
      </c>
      <c r="C88">
        <v>248109</v>
      </c>
      <c r="E88">
        <v>991167</v>
      </c>
      <c r="F88">
        <v>989168</v>
      </c>
      <c r="H88">
        <v>6644616</v>
      </c>
      <c r="I88">
        <v>4501500</v>
      </c>
      <c r="K88">
        <v>24950781</v>
      </c>
      <c r="L88">
        <v>24940782</v>
      </c>
      <c r="N88">
        <v>299830821</v>
      </c>
      <c r="O88">
        <v>200010000</v>
      </c>
      <c r="Q88">
        <v>1877832120</v>
      </c>
      <c r="R88">
        <v>1250025000</v>
      </c>
    </row>
    <row r="89" spans="2:18" x14ac:dyDescent="0.25">
      <c r="B89">
        <v>251998</v>
      </c>
      <c r="C89">
        <v>250999</v>
      </c>
      <c r="E89">
        <v>997818</v>
      </c>
      <c r="F89">
        <v>995819</v>
      </c>
      <c r="H89">
        <v>6751164</v>
      </c>
      <c r="I89">
        <v>4501500</v>
      </c>
      <c r="K89">
        <v>24981829</v>
      </c>
      <c r="L89">
        <v>24971830</v>
      </c>
      <c r="N89">
        <v>301064445</v>
      </c>
      <c r="O89">
        <v>200010000</v>
      </c>
      <c r="Q89">
        <v>1873678698</v>
      </c>
      <c r="R89">
        <v>1250025000</v>
      </c>
    </row>
    <row r="90" spans="2:18" x14ac:dyDescent="0.25">
      <c r="B90">
        <v>257361</v>
      </c>
      <c r="C90">
        <v>256362</v>
      </c>
      <c r="E90">
        <v>991374</v>
      </c>
      <c r="F90">
        <v>989375</v>
      </c>
      <c r="H90">
        <v>6716817</v>
      </c>
      <c r="I90">
        <v>4501500</v>
      </c>
      <c r="K90">
        <v>24863100</v>
      </c>
      <c r="L90">
        <v>24853101</v>
      </c>
      <c r="N90">
        <v>299255883</v>
      </c>
      <c r="O90">
        <v>200010000</v>
      </c>
      <c r="Q90">
        <v>1872722148</v>
      </c>
      <c r="R90">
        <v>1250025000</v>
      </c>
    </row>
    <row r="91" spans="2:18" x14ac:dyDescent="0.25">
      <c r="B91">
        <v>257429</v>
      </c>
      <c r="C91">
        <v>256430</v>
      </c>
      <c r="E91">
        <v>1014415</v>
      </c>
      <c r="F91">
        <v>1012416</v>
      </c>
      <c r="H91">
        <v>6841542</v>
      </c>
      <c r="I91">
        <v>4501500</v>
      </c>
      <c r="K91">
        <v>25100067</v>
      </c>
      <c r="L91">
        <v>25090068</v>
      </c>
      <c r="N91">
        <v>297641793</v>
      </c>
      <c r="O91">
        <v>200010000</v>
      </c>
      <c r="Q91">
        <v>1873147758</v>
      </c>
      <c r="R91">
        <v>1250025000</v>
      </c>
    </row>
    <row r="92" spans="2:18" x14ac:dyDescent="0.25">
      <c r="B92">
        <v>257744</v>
      </c>
      <c r="C92">
        <v>256745</v>
      </c>
      <c r="E92">
        <v>992824</v>
      </c>
      <c r="F92">
        <v>990825</v>
      </c>
      <c r="H92">
        <v>6509619</v>
      </c>
      <c r="I92">
        <v>4501500</v>
      </c>
      <c r="K92">
        <v>24659311</v>
      </c>
      <c r="L92">
        <v>24649312</v>
      </c>
      <c r="N92">
        <v>301404963</v>
      </c>
      <c r="O92">
        <v>200010000</v>
      </c>
      <c r="Q92">
        <v>1881629913</v>
      </c>
      <c r="R92">
        <v>1250025000</v>
      </c>
    </row>
    <row r="93" spans="2:18" x14ac:dyDescent="0.25">
      <c r="B93">
        <v>253266</v>
      </c>
      <c r="C93">
        <v>252267</v>
      </c>
      <c r="E93">
        <v>969853</v>
      </c>
      <c r="F93">
        <v>967854</v>
      </c>
      <c r="H93">
        <v>6731202</v>
      </c>
      <c r="I93">
        <v>4501500</v>
      </c>
      <c r="K93">
        <v>25258234</v>
      </c>
      <c r="L93">
        <v>25248235</v>
      </c>
      <c r="N93">
        <v>297012231</v>
      </c>
      <c r="O93">
        <v>200010000</v>
      </c>
      <c r="Q93">
        <v>1866536403</v>
      </c>
      <c r="R93">
        <v>1250025000</v>
      </c>
    </row>
    <row r="94" spans="2:18" x14ac:dyDescent="0.25">
      <c r="B94">
        <v>258869</v>
      </c>
      <c r="C94">
        <v>257870</v>
      </c>
      <c r="E94">
        <v>987423</v>
      </c>
      <c r="F94">
        <v>985424</v>
      </c>
      <c r="H94">
        <v>6868512</v>
      </c>
      <c r="I94">
        <v>4501500</v>
      </c>
      <c r="K94">
        <v>24955522</v>
      </c>
      <c r="L94">
        <v>24945523</v>
      </c>
      <c r="N94">
        <v>299425230</v>
      </c>
      <c r="O94">
        <v>200010000</v>
      </c>
      <c r="Q94">
        <v>1867401942</v>
      </c>
      <c r="R94">
        <v>1250025000</v>
      </c>
    </row>
    <row r="95" spans="2:18" x14ac:dyDescent="0.25">
      <c r="B95">
        <v>251897</v>
      </c>
      <c r="C95">
        <v>250898</v>
      </c>
      <c r="E95">
        <v>985630</v>
      </c>
      <c r="F95">
        <v>983631</v>
      </c>
      <c r="H95">
        <v>6872157</v>
      </c>
      <c r="I95">
        <v>4501500</v>
      </c>
      <c r="K95">
        <v>24963706</v>
      </c>
      <c r="L95">
        <v>24953707</v>
      </c>
      <c r="N95">
        <v>297985140</v>
      </c>
      <c r="O95">
        <v>200010000</v>
      </c>
      <c r="Q95">
        <v>1873238196</v>
      </c>
      <c r="R95">
        <v>1250025000</v>
      </c>
    </row>
    <row r="96" spans="2:18" x14ac:dyDescent="0.25">
      <c r="B96">
        <v>251887</v>
      </c>
      <c r="C96">
        <v>250888</v>
      </c>
      <c r="E96">
        <v>1007886</v>
      </c>
      <c r="F96">
        <v>1005887</v>
      </c>
      <c r="H96">
        <v>6652926</v>
      </c>
      <c r="I96">
        <v>4501500</v>
      </c>
      <c r="K96">
        <v>25225308</v>
      </c>
      <c r="L96">
        <v>25215309</v>
      </c>
      <c r="N96">
        <v>297328020</v>
      </c>
      <c r="O96">
        <v>200010000</v>
      </c>
      <c r="Q96">
        <v>1869793461</v>
      </c>
      <c r="R96">
        <v>1250025000</v>
      </c>
    </row>
    <row r="97" spans="1:18" x14ac:dyDescent="0.25">
      <c r="B97">
        <v>255339</v>
      </c>
      <c r="C97">
        <v>254340</v>
      </c>
      <c r="E97">
        <v>1030043</v>
      </c>
      <c r="F97">
        <v>1028044</v>
      </c>
      <c r="H97">
        <v>6660408</v>
      </c>
      <c r="I97">
        <v>4501500</v>
      </c>
      <c r="K97">
        <v>24994318</v>
      </c>
      <c r="L97">
        <v>24984319</v>
      </c>
      <c r="N97">
        <v>300967416</v>
      </c>
      <c r="O97">
        <v>200010000</v>
      </c>
      <c r="Q97">
        <v>1873108701</v>
      </c>
      <c r="R97">
        <v>1250025000</v>
      </c>
    </row>
    <row r="98" spans="1:18" x14ac:dyDescent="0.25">
      <c r="B98">
        <v>251931</v>
      </c>
      <c r="C98">
        <v>250932</v>
      </c>
      <c r="E98">
        <v>1002444</v>
      </c>
      <c r="F98">
        <v>1000445</v>
      </c>
      <c r="H98">
        <v>6678159</v>
      </c>
      <c r="I98">
        <v>4501500</v>
      </c>
      <c r="K98">
        <v>24954945</v>
      </c>
      <c r="L98">
        <v>24944946</v>
      </c>
      <c r="N98">
        <v>300719367</v>
      </c>
      <c r="O98">
        <v>200010000</v>
      </c>
      <c r="Q98">
        <v>1883119740</v>
      </c>
      <c r="R98">
        <v>1250025000</v>
      </c>
    </row>
    <row r="99" spans="1:18" x14ac:dyDescent="0.25">
      <c r="B99">
        <v>258979</v>
      </c>
      <c r="C99">
        <v>257980</v>
      </c>
      <c r="E99">
        <v>1017549</v>
      </c>
      <c r="F99">
        <v>1015550</v>
      </c>
      <c r="H99">
        <v>6879108</v>
      </c>
      <c r="I99">
        <v>4501500</v>
      </c>
      <c r="K99">
        <v>25289570</v>
      </c>
      <c r="L99">
        <v>25279571</v>
      </c>
      <c r="N99">
        <v>300511863</v>
      </c>
      <c r="O99">
        <v>200010000</v>
      </c>
      <c r="Q99">
        <v>1871972652</v>
      </c>
      <c r="R99">
        <v>1250025000</v>
      </c>
    </row>
    <row r="100" spans="1:18" x14ac:dyDescent="0.25">
      <c r="B100">
        <v>248183</v>
      </c>
      <c r="C100">
        <v>247184</v>
      </c>
      <c r="E100">
        <v>994055</v>
      </c>
      <c r="F100">
        <v>992056</v>
      </c>
      <c r="H100">
        <v>6722268</v>
      </c>
      <c r="I100">
        <v>4501500</v>
      </c>
      <c r="K100">
        <v>25153668</v>
      </c>
      <c r="L100">
        <v>25143669</v>
      </c>
      <c r="N100">
        <v>299335788</v>
      </c>
      <c r="O100">
        <v>200010000</v>
      </c>
      <c r="Q100">
        <v>1866949833</v>
      </c>
      <c r="R100">
        <v>1250025000</v>
      </c>
    </row>
    <row r="101" spans="1:18" x14ac:dyDescent="0.25">
      <c r="B101">
        <v>246563</v>
      </c>
      <c r="C101">
        <v>245564</v>
      </c>
      <c r="E101">
        <v>1002587</v>
      </c>
      <c r="F101">
        <v>1000588</v>
      </c>
      <c r="H101">
        <v>6675882</v>
      </c>
      <c r="I101">
        <v>4501500</v>
      </c>
      <c r="K101">
        <v>24927578</v>
      </c>
      <c r="L101">
        <v>24917579</v>
      </c>
      <c r="N101">
        <v>300443094</v>
      </c>
      <c r="O101">
        <v>200010000</v>
      </c>
      <c r="Q101">
        <v>1866386829</v>
      </c>
      <c r="R101">
        <v>1250025000</v>
      </c>
    </row>
    <row r="102" spans="1:18" x14ac:dyDescent="0.25">
      <c r="B102">
        <v>250326</v>
      </c>
      <c r="C102">
        <v>249327</v>
      </c>
      <c r="E102">
        <v>989858</v>
      </c>
      <c r="F102">
        <v>987859</v>
      </c>
      <c r="H102">
        <v>6743253</v>
      </c>
      <c r="I102">
        <v>4501500</v>
      </c>
      <c r="K102">
        <v>24909235</v>
      </c>
      <c r="L102">
        <v>24899236</v>
      </c>
      <c r="N102">
        <v>299291406</v>
      </c>
      <c r="O102">
        <v>200010000</v>
      </c>
      <c r="Q102">
        <v>1868528565</v>
      </c>
      <c r="R102">
        <v>1250025000</v>
      </c>
    </row>
    <row r="103" spans="1:18" x14ac:dyDescent="0.25">
      <c r="B103">
        <v>250722</v>
      </c>
      <c r="C103">
        <v>249723</v>
      </c>
      <c r="E103">
        <v>998572</v>
      </c>
      <c r="F103">
        <v>996573</v>
      </c>
      <c r="H103">
        <v>6750798</v>
      </c>
      <c r="I103">
        <v>4501500</v>
      </c>
      <c r="K103">
        <v>24936639</v>
      </c>
      <c r="L103">
        <v>24926640</v>
      </c>
      <c r="N103">
        <v>299212146</v>
      </c>
      <c r="O103">
        <v>200010000</v>
      </c>
      <c r="Q103">
        <v>1868700714</v>
      </c>
      <c r="R103">
        <v>1250025000</v>
      </c>
    </row>
    <row r="104" spans="1:18" x14ac:dyDescent="0.25">
      <c r="A104" t="s">
        <v>3</v>
      </c>
      <c r="B104" s="1">
        <f>AVERAGE(B4:B103)</f>
        <v>529936.66</v>
      </c>
      <c r="C104" s="1">
        <f>AVERAGE(C4:C103)</f>
        <v>390846.96</v>
      </c>
      <c r="E104" s="1">
        <f>AVERAGE(E4:E103)</f>
        <v>1977361.01</v>
      </c>
      <c r="F104" s="1">
        <f>AVERAGE(F4:F103)</f>
        <v>1489476.17</v>
      </c>
      <c r="H104" s="1">
        <f>AVERAGE(H4:H103)</f>
        <v>6731855.9400000004</v>
      </c>
      <c r="I104" s="1">
        <f>AVERAGE(I4:I103)</f>
        <v>4501500</v>
      </c>
      <c r="K104" s="1">
        <f>AVERAGE(K4:K103)</f>
        <v>54006539.479999997</v>
      </c>
      <c r="L104" s="1">
        <f>AVERAGE(L4:L103)</f>
        <v>39508781.939999998</v>
      </c>
      <c r="N104" s="1">
        <f>AVERAGE(N4:N103)</f>
        <v>299497654.31999999</v>
      </c>
      <c r="O104" s="1">
        <f>AVERAGE(O4:O103)</f>
        <v>200010000</v>
      </c>
      <c r="Q104" s="1">
        <f>AVERAGE(Q4:Q103)</f>
        <v>1873341853.0799999</v>
      </c>
      <c r="R104" s="1">
        <f>AVERAGE(R4:R103)</f>
        <v>1250025000</v>
      </c>
    </row>
  </sheetData>
  <mergeCells count="2">
    <mergeCell ref="AA1:AE1"/>
    <mergeCell ref="AH1:AL1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insert</vt:lpstr>
      <vt:lpstr>shaker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Б</dc:creator>
  <cp:lastModifiedBy>Иван Б</cp:lastModifiedBy>
  <dcterms:created xsi:type="dcterms:W3CDTF">2015-06-05T18:19:34Z</dcterms:created>
  <dcterms:modified xsi:type="dcterms:W3CDTF">2025-11-30T19:31:25Z</dcterms:modified>
</cp:coreProperties>
</file>